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-T1" sheetId="1" state="visible" r:id="rId1"/>
    <sheet name="CDG-2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MTR-SIN-26-2232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MTR-32946</t>
        </is>
      </c>
      <c r="B10" t="inlineStr">
        <is>
          <t>Atelier Noor</t>
        </is>
      </c>
      <c r="C10" t="inlineStr">
        <is>
          <t>Musc Blanc Eau de Parfum</t>
        </is>
      </c>
      <c r="D10" t="inlineStr">
        <is>
          <t>100 ml</t>
        </is>
      </c>
      <c r="E10" t="n">
        <v>6</v>
      </c>
      <c r="F10" t="n">
        <v>2</v>
      </c>
      <c r="G10" t="n">
        <v>96.31999999999999</v>
      </c>
      <c r="H10">
        <f>F10*E10*G10</f>
        <v/>
      </c>
    </row>
    <row r="11">
      <c r="A11" t="inlineStr">
        <is>
          <t>MTR-96088</t>
        </is>
      </c>
      <c r="B11" t="inlineStr"/>
      <c r="C11" t="inlineStr">
        <is>
          <t>Advent Calendar 2026</t>
        </is>
      </c>
      <c r="D11" t="inlineStr"/>
      <c r="E11" t="inlineStr"/>
      <c r="F11" t="n">
        <v>2</v>
      </c>
      <c r="G11" t="n">
        <v>72.36</v>
      </c>
      <c r="H11">
        <f>F11*G11</f>
        <v/>
      </c>
    </row>
    <row r="12">
      <c r="A12" t="inlineStr">
        <is>
          <t>MTR-21368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4N Honey</t>
        </is>
      </c>
      <c r="E12" t="n">
        <v>12</v>
      </c>
      <c r="F12" t="n">
        <v>6</v>
      </c>
      <c r="G12" t="n">
        <v>17.46</v>
      </c>
      <c r="H12">
        <f>F12*E12*G12</f>
        <v/>
      </c>
    </row>
    <row r="13">
      <c r="A13" t="inlineStr">
        <is>
          <t>MTR-70150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30 Fuchsia</t>
        </is>
      </c>
      <c r="E13" t="n">
        <v>12</v>
      </c>
      <c r="F13" t="n">
        <v>2</v>
      </c>
      <c r="G13" t="n">
        <v>12.51</v>
      </c>
      <c r="H13">
        <f>F13*E13*G13</f>
        <v/>
      </c>
    </row>
    <row r="14">
      <c r="A14" t="inlineStr">
        <is>
          <t>MTR-95679</t>
        </is>
      </c>
      <c r="B14" t="inlineStr">
        <is>
          <t>Velour Cosmetics</t>
        </is>
      </c>
      <c r="C14" t="inlineStr">
        <is>
          <t>Soft Focus Blush</t>
        </is>
      </c>
      <c r="D14" t="inlineStr">
        <is>
          <t>Mauve</t>
        </is>
      </c>
      <c r="E14" t="n">
        <v>12</v>
      </c>
      <c r="F14" t="n">
        <v>3</v>
      </c>
      <c r="G14" t="n">
        <v>13.74</v>
      </c>
      <c r="H14">
        <f>F14*E14*G14</f>
        <v/>
      </c>
    </row>
    <row r="15">
      <c r="A15" t="inlineStr">
        <is>
          <t>MTR-35318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2W Sand</t>
        </is>
      </c>
      <c r="E15" t="n">
        <v>12</v>
      </c>
      <c r="F15" t="n">
        <v>4</v>
      </c>
      <c r="G15" t="n">
        <v>17.19</v>
      </c>
      <c r="H15">
        <f>F15*E15*G15</f>
        <v/>
      </c>
    </row>
    <row r="16">
      <c r="A16" t="inlineStr">
        <is>
          <t>MTR-94659</t>
        </is>
      </c>
      <c r="B16" t="inlineStr">
        <is>
          <t>Atelier Noor</t>
        </is>
      </c>
      <c r="C16" t="inlineStr">
        <is>
          <t>Néroli Soleil Eau de Toilette</t>
        </is>
      </c>
      <c r="D16" t="inlineStr">
        <is>
          <t>50 ml</t>
        </is>
      </c>
      <c r="E16" t="n">
        <v>6</v>
      </c>
      <c r="F16" t="n">
        <v>3</v>
      </c>
      <c r="G16" t="n">
        <v>51.2</v>
      </c>
      <c r="H16">
        <f>F16*E16*G16</f>
        <v/>
      </c>
    </row>
    <row r="17">
      <c r="A17" t="inlineStr">
        <is>
          <t>MTR-60375</t>
        </is>
      </c>
      <c r="B17" t="inlineStr"/>
      <c r="C17" t="inlineStr">
        <is>
          <t>Overnight Peel Pads</t>
        </is>
      </c>
      <c r="D17" t="inlineStr"/>
      <c r="E17" t="inlineStr"/>
      <c r="F17" t="n">
        <v>1</v>
      </c>
      <c r="G17" t="n">
        <v>24.37</v>
      </c>
      <c r="H17">
        <f>F17*G17</f>
        <v/>
      </c>
    </row>
    <row r="18">
      <c r="A18" t="inlineStr">
        <is>
          <t>MTR-99167</t>
        </is>
      </c>
      <c r="B18" t="inlineStr">
        <is>
          <t>Lune Rouge</t>
        </is>
      </c>
      <c r="C18" t="inlineStr">
        <is>
          <t>Lip Gloss Mirror</t>
        </is>
      </c>
      <c r="D18" t="inlineStr">
        <is>
          <t>Clear</t>
        </is>
      </c>
      <c r="E18" t="n">
        <v>12</v>
      </c>
      <c r="F18" t="n">
        <v>1</v>
      </c>
      <c r="G18" t="n">
        <v>7.98</v>
      </c>
      <c r="H18">
        <f>F18*E18*G18</f>
        <v/>
      </c>
    </row>
    <row r="19">
      <c r="A19" t="inlineStr">
        <is>
          <t>MTR-11214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03 Petal</t>
        </is>
      </c>
      <c r="E19" t="n">
        <v>12</v>
      </c>
      <c r="F19" t="n">
        <v>1</v>
      </c>
      <c r="G19" t="n">
        <v>12</v>
      </c>
      <c r="H19">
        <f>F19*E19*G19</f>
        <v/>
      </c>
    </row>
    <row r="20">
      <c r="A20" t="inlineStr">
        <is>
          <t>MTR-53914</t>
        </is>
      </c>
      <c r="B20" t="inlineStr">
        <is>
          <t>Velour Cosmetics</t>
        </is>
      </c>
      <c r="C20" t="inlineStr">
        <is>
          <t>Satin Lip Colour</t>
        </is>
      </c>
      <c r="D20" t="inlineStr">
        <is>
          <t>08 Terracotta</t>
        </is>
      </c>
      <c r="E20" t="n">
        <v>12</v>
      </c>
      <c r="F20" t="n">
        <v>4</v>
      </c>
      <c r="G20" t="n">
        <v>13.25</v>
      </c>
      <c r="H20">
        <f>F20*E20*G20</f>
        <v/>
      </c>
    </row>
    <row r="21">
      <c r="A21" t="inlineStr">
        <is>
          <t>MTR-78202</t>
        </is>
      </c>
      <c r="B21" t="inlineStr">
        <is>
          <t>Lune Rouge</t>
        </is>
      </c>
      <c r="C21" t="inlineStr">
        <is>
          <t>Glow Highlighter</t>
        </is>
      </c>
      <c r="D21" t="inlineStr">
        <is>
          <t>Rose Gold</t>
        </is>
      </c>
      <c r="E21" t="n">
        <v>12</v>
      </c>
      <c r="F21" t="n">
        <v>1</v>
      </c>
      <c r="G21" t="n">
        <v>10.77</v>
      </c>
      <c r="H21">
        <f>F21*E21*G21</f>
        <v/>
      </c>
    </row>
    <row r="22">
      <c r="A22" t="inlineStr">
        <is>
          <t>MTR-59362</t>
        </is>
      </c>
      <c r="B22" t="inlineStr"/>
      <c r="C22" t="inlineStr">
        <is>
          <t>Velvet Body Mist</t>
        </is>
      </c>
      <c r="D22" t="inlineStr"/>
      <c r="E22" t="inlineStr"/>
      <c r="F22" t="n">
        <v>2</v>
      </c>
      <c r="G22" t="n">
        <v>35.31</v>
      </c>
      <c r="H22">
        <f>F22*G22</f>
        <v/>
      </c>
    </row>
    <row r="23">
      <c r="A23" t="inlineStr">
        <is>
          <t>MTR-30701</t>
        </is>
      </c>
      <c r="B23" t="inlineStr">
        <is>
          <t>Atelier Noor</t>
        </is>
      </c>
      <c r="C23" t="inlineStr">
        <is>
          <t>Rose Ambrée Eau de Parfum</t>
        </is>
      </c>
      <c r="D23" t="inlineStr">
        <is>
          <t>50 ml</t>
        </is>
      </c>
      <c r="E23" t="n">
        <v>6</v>
      </c>
      <c r="F23" t="n">
        <v>1</v>
      </c>
      <c r="G23" t="n">
        <v>71.13</v>
      </c>
      <c r="H23">
        <f>F23*E23*G23</f>
        <v/>
      </c>
    </row>
    <row r="25">
      <c r="A25" t="inlineStr"/>
      <c r="B25" t="inlineStr"/>
      <c r="C25" s="3" t="inlineStr">
        <is>
          <t>TOTAL</t>
        </is>
      </c>
      <c r="D25" t="inlineStr"/>
      <c r="E25" t="inlineStr"/>
      <c r="F25">
        <f>SUM(F10:F22)</f>
        <v/>
      </c>
      <c r="G25" t="inlineStr"/>
      <c r="H25">
        <f>SUM(H10:H22)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MTR-CDG-26-5916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03-Oct-2026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MTR-72350</t>
        </is>
      </c>
      <c r="B10" t="inlineStr">
        <is>
          <t>Atelier Noor</t>
        </is>
      </c>
      <c r="C10" t="inlineStr">
        <is>
          <t>Rose Ambrée Eau de Parfum</t>
        </is>
      </c>
      <c r="D10" t="inlineStr">
        <is>
          <t>100 ml</t>
        </is>
      </c>
      <c r="E10" t="n">
        <v>6</v>
      </c>
      <c r="F10" t="n">
        <v>3</v>
      </c>
      <c r="G10" t="n">
        <v>101.83</v>
      </c>
      <c r="H10">
        <f>F10*E10*G10</f>
        <v/>
      </c>
    </row>
    <row r="11" hidden="1">
      <c r="A11" t="inlineStr">
        <is>
          <t>MTR-80453</t>
        </is>
      </c>
      <c r="B11" t="inlineStr">
        <is>
          <t>Lune Rouge</t>
        </is>
      </c>
      <c r="C11" t="inlineStr">
        <is>
          <t>Lacquer Nail Colour</t>
        </is>
      </c>
      <c r="D11" t="inlineStr">
        <is>
          <t>135 Lilac</t>
        </is>
      </c>
      <c r="E11" t="n">
        <v>12</v>
      </c>
      <c r="F11" t="n">
        <v>1</v>
      </c>
      <c r="G11" t="n">
        <v>5.58</v>
      </c>
      <c r="H11">
        <f>F11*E11*G11</f>
        <v/>
      </c>
    </row>
    <row r="13">
      <c r="A13" t="inlineStr">
        <is>
          <t>MTR-69634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120 Midnight</t>
        </is>
      </c>
      <c r="E13" t="n">
        <v>12</v>
      </c>
      <c r="F13" t="n">
        <v>3</v>
      </c>
      <c r="G13" t="n">
        <v>5.77</v>
      </c>
      <c r="H13">
        <f>F13*E13*G13</f>
        <v/>
      </c>
    </row>
    <row r="14">
      <c r="A14" t="inlineStr">
        <is>
          <t>MTR-81989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130 Coral Reef</t>
        </is>
      </c>
      <c r="E14" t="n">
        <v>12</v>
      </c>
      <c r="F14" t="n">
        <v>2</v>
      </c>
      <c r="G14" t="n">
        <v>6.08</v>
      </c>
      <c r="H14">
        <f>F14*E14*G14</f>
        <v/>
      </c>
    </row>
    <row r="15">
      <c r="A15" t="inlineStr">
        <is>
          <t>MTR-36497</t>
        </is>
      </c>
      <c r="B15" t="inlineStr">
        <is>
          <t>Lune Rouge</t>
        </is>
      </c>
      <c r="C15" t="inlineStr">
        <is>
          <t>Glow Highlighter</t>
        </is>
      </c>
      <c r="D15" t="inlineStr">
        <is>
          <t>Moonstone</t>
        </is>
      </c>
      <c r="E15" t="n">
        <v>12</v>
      </c>
      <c r="F15" t="n">
        <v>2</v>
      </c>
      <c r="G15" t="n">
        <v>9.789999999999999</v>
      </c>
      <c r="H15">
        <f>F15*E15*G15</f>
        <v/>
      </c>
    </row>
    <row r="16">
      <c r="A16" t="inlineStr">
        <is>
          <t>MTR-79228</t>
        </is>
      </c>
      <c r="B16" t="inlineStr">
        <is>
          <t>Lune Rouge</t>
        </is>
      </c>
      <c r="C16" t="inlineStr">
        <is>
          <t>Precision Liquid Eyeliner</t>
        </is>
      </c>
      <c r="D16" t="inlineStr">
        <is>
          <t>Brown</t>
        </is>
      </c>
      <c r="E16" t="n">
        <v>12</v>
      </c>
      <c r="F16" t="n">
        <v>6</v>
      </c>
      <c r="G16" t="n">
        <v>8.59</v>
      </c>
      <c r="H16">
        <f>F16*E16*G16</f>
        <v/>
      </c>
    </row>
    <row r="17">
      <c r="A17" t="inlineStr">
        <is>
          <t>MTR-45842</t>
        </is>
      </c>
      <c r="B17" t="inlineStr">
        <is>
          <t>Solenne Paris</t>
        </is>
      </c>
      <c r="C17" t="inlineStr">
        <is>
          <t>Sérum Absolu Regenerating Serum</t>
        </is>
      </c>
      <c r="D17" t="inlineStr">
        <is>
          <t>15 ml</t>
        </is>
      </c>
      <c r="E17" t="n">
        <v>6</v>
      </c>
      <c r="F17" t="n">
        <v>1</v>
      </c>
      <c r="G17" t="n">
        <v>27.64</v>
      </c>
      <c r="H17">
        <f>F17*E17*G17</f>
        <v/>
      </c>
    </row>
    <row r="18">
      <c r="A18" t="inlineStr">
        <is>
          <t>MTR-86434</t>
        </is>
      </c>
      <c r="B18" t="inlineStr">
        <is>
          <t>Lune Rouge</t>
        </is>
      </c>
      <c r="C18" t="inlineStr">
        <is>
          <t>Lip Gloss Mirror</t>
        </is>
      </c>
      <c r="D18" t="inlineStr">
        <is>
          <t>Pink Pearl</t>
        </is>
      </c>
      <c r="E18" t="n">
        <v>12</v>
      </c>
      <c r="F18" t="n">
        <v>6</v>
      </c>
      <c r="G18" t="n">
        <v>7.26</v>
      </c>
      <c r="H18">
        <f>F18*E18*G18</f>
        <v/>
      </c>
    </row>
    <row r="19">
      <c r="A19" t="inlineStr">
        <is>
          <t>MTR-38947</t>
        </is>
      </c>
      <c r="B19" t="inlineStr">
        <is>
          <t>Lune Rouge</t>
        </is>
      </c>
      <c r="C19" t="inlineStr">
        <is>
          <t>Lacquer Nail Colour</t>
        </is>
      </c>
      <c r="D19" t="inlineStr">
        <is>
          <t>110 Ballet</t>
        </is>
      </c>
      <c r="E19" t="n">
        <v>12</v>
      </c>
      <c r="F19" t="n">
        <v>6</v>
      </c>
      <c r="G19" t="n">
        <v>5.38</v>
      </c>
      <c r="H19">
        <f>F19*E19*G19</f>
        <v/>
      </c>
    </row>
    <row r="21">
      <c r="A21" t="inlineStr"/>
      <c r="B21" t="inlineStr"/>
      <c r="C21" s="3" t="inlineStr">
        <is>
          <t>TOTAL</t>
        </is>
      </c>
      <c r="D21" t="inlineStr"/>
      <c r="E21" t="inlineStr"/>
      <c r="F21">
        <f>SUM(F10:F18)</f>
        <v/>
      </c>
      <c r="G21" t="inlineStr"/>
      <c r="H21">
        <f>SUM(H10:H18)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
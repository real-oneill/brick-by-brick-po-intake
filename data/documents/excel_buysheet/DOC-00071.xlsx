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DXB-T3" sheetId="2" state="visible" r:id="rId2"/>
    <sheet name="SIN-T1" sheetId="3" state="visible" r:id="rId3"/>
    <sheet name="LHR-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MTR-CDG-26-2311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MTR-36143</t>
        </is>
      </c>
      <c r="B10" t="inlineStr">
        <is>
          <t>Atelier Noor</t>
        </is>
      </c>
      <c r="C10" t="inlineStr">
        <is>
          <t>Vétiver Nocturne Eau de Toilette</t>
        </is>
      </c>
      <c r="D10" t="inlineStr">
        <is>
          <t>50 ml</t>
        </is>
      </c>
      <c r="E10" t="n">
        <v>6</v>
      </c>
      <c r="F10" t="n">
        <v>2</v>
      </c>
      <c r="G10" t="n">
        <v>53.14</v>
      </c>
      <c r="H10">
        <f>F10*E10*G10</f>
        <v/>
      </c>
    </row>
    <row r="11">
      <c r="A11" t="inlineStr">
        <is>
          <t>MTR-27992</t>
        </is>
      </c>
      <c r="B11" t="inlineStr">
        <is>
          <t>Solenne Paris</t>
        </is>
      </c>
      <c r="C11" t="inlineStr">
        <is>
          <t>Huile Précieuse Face Oil</t>
        </is>
      </c>
      <c r="D11" t="inlineStr">
        <is>
          <t>30 ml</t>
        </is>
      </c>
      <c r="E11" t="n">
        <v>6</v>
      </c>
      <c r="F11" t="n">
        <v>2</v>
      </c>
      <c r="G11" t="n">
        <v>32.55</v>
      </c>
      <c r="H11">
        <f>F11*E11*G11</f>
        <v/>
      </c>
    </row>
    <row r="12">
      <c r="A12" t="inlineStr">
        <is>
          <t>MTR-70150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30 Fuchsia</t>
        </is>
      </c>
      <c r="E12" t="n">
        <v>12</v>
      </c>
      <c r="F12" t="n">
        <v>3</v>
      </c>
      <c r="G12" t="n">
        <v>11.74</v>
      </c>
      <c r="H12">
        <f>F12*E12*G12</f>
        <v/>
      </c>
    </row>
    <row r="13">
      <c r="A13" t="inlineStr">
        <is>
          <t>MTR-30701</t>
        </is>
      </c>
      <c r="B13" t="inlineStr">
        <is>
          <t>Atelier Noor</t>
        </is>
      </c>
      <c r="C13" t="inlineStr">
        <is>
          <t>Rose Ambrée Eau de Parfum</t>
        </is>
      </c>
      <c r="D13" t="inlineStr">
        <is>
          <t>50 ml</t>
        </is>
      </c>
      <c r="E13" t="n">
        <v>6</v>
      </c>
      <c r="F13" t="n">
        <v>6</v>
      </c>
      <c r="G13" t="n">
        <v>67.3</v>
      </c>
      <c r="H13">
        <f>F13*E13*G13</f>
        <v/>
      </c>
    </row>
    <row r="14">
      <c r="A14" t="inlineStr">
        <is>
          <t>MTR-99173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145 Bordeaux</t>
        </is>
      </c>
      <c r="E14" t="n">
        <v>12</v>
      </c>
      <c r="F14" t="n">
        <v>1</v>
      </c>
      <c r="G14" t="n">
        <v>5.42</v>
      </c>
      <c r="H14">
        <f>F14*E14*G14</f>
        <v/>
      </c>
    </row>
    <row r="15">
      <c r="A15" t="inlineStr">
        <is>
          <t>MTR-47700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50 ml</t>
        </is>
      </c>
      <c r="E15" t="n">
        <v>6</v>
      </c>
      <c r="F15" t="n">
        <v>4</v>
      </c>
      <c r="G15" t="n">
        <v>47.06</v>
      </c>
      <c r="H15">
        <f>F15*E15*G15</f>
        <v/>
      </c>
    </row>
    <row r="16">
      <c r="A16" t="inlineStr">
        <is>
          <t>MTR-67983</t>
        </is>
      </c>
      <c r="B16" t="inlineStr">
        <is>
          <t>Solenne Paris</t>
        </is>
      </c>
      <c r="C16" t="inlineStr">
        <is>
          <t>Baume Nuit Night Balm</t>
        </is>
      </c>
      <c r="D16" t="inlineStr">
        <is>
          <t>50 ml</t>
        </is>
      </c>
      <c r="E16" t="n">
        <v>6</v>
      </c>
      <c r="F16" t="n">
        <v>2</v>
      </c>
      <c r="G16" t="n">
        <v>51.12</v>
      </c>
      <c r="H16">
        <f>F16*E16*G16</f>
        <v/>
      </c>
    </row>
    <row r="18">
      <c r="A18" t="inlineStr"/>
      <c r="B18" t="inlineStr"/>
      <c r="C18" s="3" t="inlineStr">
        <is>
          <t>TOTAL</t>
        </is>
      </c>
      <c r="D18" t="inlineStr"/>
      <c r="E18" t="inlineStr"/>
      <c r="F18">
        <f>SUM(F10:F15)</f>
        <v/>
      </c>
      <c r="G18" t="inlineStr"/>
      <c r="H18">
        <f>SUM(H10:H15)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MTR-DXB-26-4881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25-Sep-2026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MTR-89395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123 Mint Chip</t>
        </is>
      </c>
      <c r="E10" t="n">
        <v>12</v>
      </c>
      <c r="F10" t="n">
        <v>1</v>
      </c>
      <c r="G10" t="n">
        <v>5.82</v>
      </c>
      <c r="H10">
        <f>F10*E10*G10</f>
        <v/>
      </c>
    </row>
    <row r="11" hidden="1">
      <c r="A11" t="inlineStr">
        <is>
          <t>MTR-29641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Champagne</t>
        </is>
      </c>
      <c r="E11" t="n">
        <v>12</v>
      </c>
      <c r="F11" t="n">
        <v>6</v>
      </c>
      <c r="G11" t="n">
        <v>11.25</v>
      </c>
      <c r="H11">
        <f>F11*E11*G11</f>
        <v/>
      </c>
    </row>
    <row r="13">
      <c r="A13" t="inlineStr">
        <is>
          <t>MTR-72350</t>
        </is>
      </c>
      <c r="B13" t="inlineStr">
        <is>
          <t>Atelier Noor</t>
        </is>
      </c>
      <c r="C13" t="inlineStr">
        <is>
          <t>Rose Ambrée Eau de Parfum</t>
        </is>
      </c>
      <c r="D13" t="inlineStr">
        <is>
          <t>100 ml</t>
        </is>
      </c>
      <c r="E13" t="n">
        <v>6</v>
      </c>
      <c r="F13" t="n">
        <v>1</v>
      </c>
      <c r="G13" t="n">
        <v>112.82</v>
      </c>
      <c r="H13">
        <f>F13*E13*G13</f>
        <v/>
      </c>
    </row>
    <row r="14">
      <c r="A14" t="inlineStr">
        <is>
          <t>MTR-80592</t>
        </is>
      </c>
      <c r="B14" t="inlineStr">
        <is>
          <t>Solenne Paris</t>
        </is>
      </c>
      <c r="C14" t="inlineStr">
        <is>
          <t>Eau Micellaire Cleansing Water</t>
        </is>
      </c>
      <c r="D14" t="inlineStr">
        <is>
          <t>400 ml</t>
        </is>
      </c>
      <c r="E14" t="n">
        <v>6</v>
      </c>
      <c r="F14" t="n">
        <v>2</v>
      </c>
      <c r="G14" t="n">
        <v>55.53</v>
      </c>
      <c r="H14">
        <f>F14*E14*G14</f>
        <v/>
      </c>
    </row>
    <row r="15">
      <c r="A15" t="inlineStr">
        <is>
          <t>MTR-34420</t>
        </is>
      </c>
      <c r="B15" t="inlineStr">
        <is>
          <t>Atelier Noor</t>
        </is>
      </c>
      <c r="C15" t="inlineStr">
        <is>
          <t>Iris Poudré Eau de Parfum</t>
        </is>
      </c>
      <c r="D15" t="inlineStr">
        <is>
          <t>100 ml</t>
        </is>
      </c>
      <c r="E15" t="n">
        <v>6</v>
      </c>
      <c r="F15" t="n">
        <v>2</v>
      </c>
      <c r="G15" t="n">
        <v>103.77</v>
      </c>
      <c r="H15">
        <f>F15*E15*G15</f>
        <v/>
      </c>
    </row>
    <row r="16">
      <c r="A16" t="inlineStr">
        <is>
          <t>MTR-40518</t>
        </is>
      </c>
      <c r="B16" t="inlineStr">
        <is>
          <t>Solenne Paris</t>
        </is>
      </c>
      <c r="C16" t="inlineStr">
        <is>
          <t>Lotion Essentielle Toner</t>
        </is>
      </c>
      <c r="D16" t="inlineStr">
        <is>
          <t>250 ml</t>
        </is>
      </c>
      <c r="E16" t="n">
        <v>6</v>
      </c>
      <c r="F16" t="n">
        <v>2</v>
      </c>
      <c r="G16" t="n">
        <v>65.72</v>
      </c>
      <c r="H16">
        <f>F16*E16*G16</f>
        <v/>
      </c>
    </row>
    <row r="17">
      <c r="A17" t="inlineStr">
        <is>
          <t>MTR-81989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130 Coral Reef</t>
        </is>
      </c>
      <c r="E17" t="n">
        <v>12</v>
      </c>
      <c r="F17" t="n">
        <v>1</v>
      </c>
      <c r="G17" t="n">
        <v>5.92</v>
      </c>
      <c r="H17">
        <f>F17*E17*G17</f>
        <v/>
      </c>
    </row>
    <row r="18">
      <c r="A18" t="inlineStr">
        <is>
          <t>MTR-36497</t>
        </is>
      </c>
      <c r="B18" t="inlineStr">
        <is>
          <t>Lune Rouge</t>
        </is>
      </c>
      <c r="C18" t="inlineStr">
        <is>
          <t>Glow Highlighter</t>
        </is>
      </c>
      <c r="D18" t="inlineStr">
        <is>
          <t>Moonstone</t>
        </is>
      </c>
      <c r="E18" t="n">
        <v>12</v>
      </c>
      <c r="F18" t="n">
        <v>4</v>
      </c>
      <c r="G18" t="n">
        <v>10.69</v>
      </c>
      <c r="H18">
        <f>F18*E18*G18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2</v>
      </c>
      <c r="G19" t="n">
        <v>51.67</v>
      </c>
      <c r="H19">
        <f>F19*E19*G19</f>
        <v/>
      </c>
    </row>
    <row r="20">
      <c r="A20" t="inlineStr">
        <is>
          <t>MTR-67983</t>
        </is>
      </c>
      <c r="B20" t="inlineStr">
        <is>
          <t>Solenne Paris</t>
        </is>
      </c>
      <c r="C20" t="inlineStr">
        <is>
          <t>Baume Nuit Night Balm</t>
        </is>
      </c>
      <c r="D20" t="inlineStr">
        <is>
          <t>50 ml</t>
        </is>
      </c>
      <c r="E20" t="n">
        <v>6</v>
      </c>
      <c r="F20" t="n">
        <v>1</v>
      </c>
      <c r="G20" t="n">
        <v>56.98</v>
      </c>
      <c r="H20">
        <f>F20*E20*G20</f>
        <v/>
      </c>
    </row>
    <row r="21">
      <c r="A21" t="inlineStr">
        <is>
          <t>MTR-40972</t>
        </is>
      </c>
      <c r="B21" t="inlineStr">
        <is>
          <t>Velour Cosmetics</t>
        </is>
      </c>
      <c r="C21" t="inlineStr">
        <is>
          <t>Soft Focus Blush</t>
        </is>
      </c>
      <c r="D21" t="inlineStr">
        <is>
          <t>Apricot</t>
        </is>
      </c>
      <c r="E21" t="n">
        <v>12</v>
      </c>
      <c r="F21" t="n">
        <v>3</v>
      </c>
      <c r="G21" t="n">
        <v>14.21</v>
      </c>
      <c r="H21">
        <f>F21*E21*G21</f>
        <v/>
      </c>
    </row>
    <row r="22">
      <c r="A22" t="inlineStr">
        <is>
          <t>MTR-30701</t>
        </is>
      </c>
      <c r="B22" t="inlineStr">
        <is>
          <t>Atelier Noor</t>
        </is>
      </c>
      <c r="C22" t="inlineStr">
        <is>
          <t>Rose Ambrée Eau de Parfum</t>
        </is>
      </c>
      <c r="D22" t="inlineStr">
        <is>
          <t>50 ml</t>
        </is>
      </c>
      <c r="E22" t="n">
        <v>6</v>
      </c>
      <c r="F22" t="n">
        <v>2</v>
      </c>
      <c r="G22" t="n">
        <v>71.13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MTR-SIN-26-6152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14-Sep-2026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MTR-45842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15 ml</t>
        </is>
      </c>
      <c r="E10" t="n">
        <v>6</v>
      </c>
      <c r="F10" t="n">
        <v>6</v>
      </c>
      <c r="G10" t="n">
        <v>26.66</v>
      </c>
      <c r="H10">
        <f>F10*E10*G10</f>
        <v/>
      </c>
    </row>
    <row r="11">
      <c r="A11" t="inlineStr">
        <is>
          <t>MTR-53914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08 Terracotta</t>
        </is>
      </c>
      <c r="E11" t="n">
        <v>12</v>
      </c>
      <c r="F11" t="n">
        <v>2</v>
      </c>
      <c r="G11" t="n">
        <v>13.25</v>
      </c>
      <c r="H11">
        <f>F11*E11*G11</f>
        <v/>
      </c>
    </row>
    <row r="12">
      <c r="A12" t="inlineStr">
        <is>
          <t>MTR-71344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22 Corail</t>
        </is>
      </c>
      <c r="E12" t="n">
        <v>12</v>
      </c>
      <c r="F12" t="n">
        <v>6</v>
      </c>
      <c r="G12" t="n">
        <v>12.16</v>
      </c>
      <c r="H12">
        <f>F12*E12*G12</f>
        <v/>
      </c>
    </row>
    <row r="13">
      <c r="A13" t="inlineStr">
        <is>
          <t>MTR-14888</t>
        </is>
      </c>
      <c r="B13" t="inlineStr">
        <is>
          <t>Atelier Noor</t>
        </is>
      </c>
      <c r="C13" t="inlineStr">
        <is>
          <t>Musc Blanc Eau de Parfum</t>
        </is>
      </c>
      <c r="D13" t="inlineStr">
        <is>
          <t>50 ml</t>
        </is>
      </c>
      <c r="E13" t="n">
        <v>6</v>
      </c>
      <c r="F13" t="n">
        <v>6</v>
      </c>
      <c r="G13" t="n">
        <v>63.05</v>
      </c>
      <c r="H13">
        <f>F13*E13*G13</f>
        <v/>
      </c>
    </row>
    <row r="14">
      <c r="A14" t="inlineStr">
        <is>
          <t>MTR-94659</t>
        </is>
      </c>
      <c r="B14" t="inlineStr">
        <is>
          <t>Atelier Noor</t>
        </is>
      </c>
      <c r="C14" t="inlineStr">
        <is>
          <t>Néroli Soleil Eau de Toilette</t>
        </is>
      </c>
      <c r="D14" t="inlineStr">
        <is>
          <t>50 ml</t>
        </is>
      </c>
      <c r="E14" t="n">
        <v>6</v>
      </c>
      <c r="F14" t="n">
        <v>1</v>
      </c>
      <c r="G14" t="n">
        <v>51.2</v>
      </c>
      <c r="H14">
        <f>F14*E14*G14</f>
        <v/>
      </c>
    </row>
    <row r="15">
      <c r="A15" t="inlineStr">
        <is>
          <t>MTR-47941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01 Nude Silk</t>
        </is>
      </c>
      <c r="E15" t="n">
        <v>12</v>
      </c>
      <c r="F15" t="n">
        <v>1</v>
      </c>
      <c r="G15" t="n">
        <v>11.77</v>
      </c>
      <c r="H15">
        <f>F15*E15*G15</f>
        <v/>
      </c>
    </row>
    <row r="16">
      <c r="A16" t="inlineStr">
        <is>
          <t>MTR-78202</t>
        </is>
      </c>
      <c r="B16" t="inlineStr">
        <is>
          <t>Lune Rouge</t>
        </is>
      </c>
      <c r="C16" t="inlineStr">
        <is>
          <t>Glow Highlighter</t>
        </is>
      </c>
      <c r="D16" t="inlineStr">
        <is>
          <t>Rose Gold</t>
        </is>
      </c>
      <c r="E16" t="n">
        <v>12</v>
      </c>
      <c r="F16" t="n">
        <v>6</v>
      </c>
      <c r="G16" t="n">
        <v>10.77</v>
      </c>
      <c r="H16">
        <f>F16*E16*G16</f>
        <v/>
      </c>
    </row>
    <row r="17">
      <c r="A17" t="inlineStr">
        <is>
          <t>MTR-61712</t>
        </is>
      </c>
      <c r="B17" t="inlineStr">
        <is>
          <t>Solenne Paris</t>
        </is>
      </c>
      <c r="C17" t="inlineStr">
        <is>
          <t>Crème Lumière Day Cream</t>
        </is>
      </c>
      <c r="D17" t="inlineStr">
        <is>
          <t>15 ml</t>
        </is>
      </c>
      <c r="E17" t="n">
        <v>6</v>
      </c>
      <c r="F17" t="n">
        <v>6</v>
      </c>
      <c r="G17" t="n">
        <v>26.02</v>
      </c>
      <c r="H17">
        <f>F17*E17*G17</f>
        <v/>
      </c>
    </row>
    <row r="18" hidden="1">
      <c r="A18" t="inlineStr">
        <is>
          <t>MTR-36497</t>
        </is>
      </c>
      <c r="B18" t="inlineStr">
        <is>
          <t>Lune Rouge</t>
        </is>
      </c>
      <c r="C18" t="inlineStr">
        <is>
          <t>Glow Highlighter</t>
        </is>
      </c>
      <c r="D18" t="inlineStr">
        <is>
          <t>Moonstone</t>
        </is>
      </c>
      <c r="E18" t="n">
        <v>12</v>
      </c>
      <c r="F18" t="n">
        <v>4</v>
      </c>
      <c r="G18" t="n">
        <v>10.69</v>
      </c>
      <c r="H18">
        <f>F18*E18*G18</f>
        <v/>
      </c>
    </row>
    <row r="20">
      <c r="A20" t="inlineStr">
        <is>
          <t>MTR-81989</t>
        </is>
      </c>
      <c r="B20" t="inlineStr">
        <is>
          <t>Lune Rouge</t>
        </is>
      </c>
      <c r="C20" t="inlineStr">
        <is>
          <t>Lacquer Nail Colour</t>
        </is>
      </c>
      <c r="D20" t="inlineStr">
        <is>
          <t>130 Coral Reef</t>
        </is>
      </c>
      <c r="E20" t="n">
        <v>12</v>
      </c>
      <c r="F20" t="n">
        <v>1</v>
      </c>
      <c r="G20" t="n">
        <v>5.92</v>
      </c>
      <c r="H20">
        <f>F20*E20*G20</f>
        <v/>
      </c>
    </row>
    <row r="21">
      <c r="A21" t="inlineStr">
        <is>
          <t>MTR-36143</t>
        </is>
      </c>
      <c r="B21" t="inlineStr">
        <is>
          <t>Atelier Noor</t>
        </is>
      </c>
      <c r="C21" t="inlineStr">
        <is>
          <t>Vétiver Nocturne Eau de Toilette</t>
        </is>
      </c>
      <c r="D21" t="inlineStr">
        <is>
          <t>50 ml</t>
        </is>
      </c>
      <c r="E21" t="n">
        <v>6</v>
      </c>
      <c r="F21" t="n">
        <v>6</v>
      </c>
      <c r="G21" t="n">
        <v>56.71</v>
      </c>
      <c r="H21">
        <f>F21*E21*G21</f>
        <v/>
      </c>
    </row>
    <row r="22">
      <c r="A22" t="inlineStr">
        <is>
          <t>MTR-77570</t>
        </is>
      </c>
      <c r="B22" t="inlineStr"/>
      <c r="C22" t="inlineStr">
        <is>
          <t>Discovery Coffret 5x10ml</t>
        </is>
      </c>
      <c r="D22" t="inlineStr"/>
      <c r="E22" t="inlineStr"/>
      <c r="F22" t="n">
        <v>1</v>
      </c>
      <c r="G22" t="n">
        <v>80.2</v>
      </c>
      <c r="H22">
        <f>F22*G22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MTR-LHR-26-9226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MTR-79573</t>
        </is>
      </c>
      <c r="B10" t="inlineStr"/>
      <c r="C10" t="inlineStr">
        <is>
          <t>Travel Exclusive Duo Set</t>
        </is>
      </c>
      <c r="D10" t="inlineStr"/>
      <c r="E10" t="inlineStr"/>
      <c r="F10" t="n">
        <v>2</v>
      </c>
      <c r="G10" t="n">
        <v>87.09</v>
      </c>
      <c r="H10">
        <f>F10*G10</f>
        <v/>
      </c>
    </row>
    <row r="11">
      <c r="A11" t="inlineStr">
        <is>
          <t>MTR-67983</t>
        </is>
      </c>
      <c r="B11" t="inlineStr">
        <is>
          <t>Solenne Paris</t>
        </is>
      </c>
      <c r="C11" t="inlineStr">
        <is>
          <t>Baume Nuit Night Balm</t>
        </is>
      </c>
      <c r="D11" t="inlineStr">
        <is>
          <t>50 ml</t>
        </is>
      </c>
      <c r="E11" t="n">
        <v>6</v>
      </c>
      <c r="F11" t="n">
        <v>1</v>
      </c>
      <c r="G11" t="n">
        <v>56.98</v>
      </c>
      <c r="H11">
        <f>F11*E11*G11</f>
        <v/>
      </c>
    </row>
    <row r="12">
      <c r="A12" t="inlineStr">
        <is>
          <t>MTR-22502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4W Caramel</t>
        </is>
      </c>
      <c r="E12" t="n">
        <v>12</v>
      </c>
      <c r="F12" t="n">
        <v>2</v>
      </c>
      <c r="G12" t="n">
        <v>17.75</v>
      </c>
      <c r="H12">
        <f>F12*E12*G12</f>
        <v/>
      </c>
    </row>
    <row r="13">
      <c r="A13" t="inlineStr">
        <is>
          <t>MTR-71344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22 Corail</t>
        </is>
      </c>
      <c r="E13" t="n">
        <v>12</v>
      </c>
      <c r="F13" t="n">
        <v>1</v>
      </c>
      <c r="G13" t="n">
        <v>10.7</v>
      </c>
      <c r="H13">
        <f>F13*E13*G13</f>
        <v/>
      </c>
    </row>
    <row r="14">
      <c r="A14" t="inlineStr">
        <is>
          <t>MTR-25495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Blonde</t>
        </is>
      </c>
      <c r="E14" t="n">
        <v>12</v>
      </c>
      <c r="F14" t="n">
        <v>3</v>
      </c>
      <c r="G14" t="n">
        <v>9.880000000000001</v>
      </c>
      <c r="H14">
        <f>F14*E14*G14</f>
        <v/>
      </c>
    </row>
    <row r="15">
      <c r="A15" t="inlineStr">
        <is>
          <t>MTR-75866</t>
        </is>
      </c>
      <c r="B15" t="inlineStr">
        <is>
          <t>Velour Cosmetics</t>
        </is>
      </c>
      <c r="C15" t="inlineStr">
        <is>
          <t>Brow Sculpt Pencil</t>
        </is>
      </c>
      <c r="D15" t="inlineStr">
        <is>
          <t>Brunette</t>
        </is>
      </c>
      <c r="E15" t="n">
        <v>12</v>
      </c>
      <c r="F15" t="n">
        <v>6</v>
      </c>
      <c r="G15" t="n">
        <v>9.039999999999999</v>
      </c>
      <c r="H15">
        <f>F15*E15*G15</f>
        <v/>
      </c>
    </row>
    <row r="16">
      <c r="A16" t="inlineStr">
        <is>
          <t>MTR-64172</t>
        </is>
      </c>
      <c r="B16" t="inlineStr">
        <is>
          <t>Atelier Noor</t>
        </is>
      </c>
      <c r="C16" t="inlineStr">
        <is>
          <t>Oud Saffron Eau de Parfum</t>
        </is>
      </c>
      <c r="D16" t="inlineStr">
        <is>
          <t>30 ml</t>
        </is>
      </c>
      <c r="E16" t="n">
        <v>12</v>
      </c>
      <c r="F16" t="n">
        <v>2</v>
      </c>
      <c r="G16" t="n">
        <v>59.38</v>
      </c>
      <c r="H16">
        <f>F16*E16*G16</f>
        <v/>
      </c>
    </row>
    <row r="17">
      <c r="A17" t="inlineStr">
        <is>
          <t>MTR-27992</t>
        </is>
      </c>
      <c r="B17" t="inlineStr">
        <is>
          <t>Solenne Paris</t>
        </is>
      </c>
      <c r="C17" t="inlineStr">
        <is>
          <t>Huile Précieuse Face Oil</t>
        </is>
      </c>
      <c r="D17" t="inlineStr">
        <is>
          <t>30 ml</t>
        </is>
      </c>
      <c r="E17" t="n">
        <v>6</v>
      </c>
      <c r="F17" t="n">
        <v>3</v>
      </c>
      <c r="G17" t="n">
        <v>36.27</v>
      </c>
      <c r="H17">
        <f>F17*E17*G17</f>
        <v/>
      </c>
    </row>
    <row r="18">
      <c r="A18" t="inlineStr">
        <is>
          <t>MTR-86917</t>
        </is>
      </c>
      <c r="B18" t="inlineStr">
        <is>
          <t>Solenne Paris</t>
        </is>
      </c>
      <c r="C18" t="inlineStr">
        <is>
          <t>Masque Éclat Radiance Mask</t>
        </is>
      </c>
      <c r="D18" t="inlineStr">
        <is>
          <t>50 ml</t>
        </is>
      </c>
      <c r="E18" t="n">
        <v>6</v>
      </c>
      <c r="F18" t="n">
        <v>1</v>
      </c>
      <c r="G18" t="n">
        <v>37.59</v>
      </c>
      <c r="H18">
        <f>F18*E18*G18</f>
        <v/>
      </c>
    </row>
    <row r="19">
      <c r="A19" t="inlineStr">
        <is>
          <t>MTR-71918</t>
        </is>
      </c>
      <c r="B19" t="inlineStr">
        <is>
          <t>Atelier Noor</t>
        </is>
      </c>
      <c r="C19" t="inlineStr">
        <is>
          <t>Oud Saffron Eau de Parfum</t>
        </is>
      </c>
      <c r="D19" t="inlineStr">
        <is>
          <t>50 ml</t>
        </is>
      </c>
      <c r="E19" t="n">
        <v>6</v>
      </c>
      <c r="F19" t="n">
        <v>2</v>
      </c>
      <c r="G19" t="n">
        <v>80.51000000000001</v>
      </c>
      <c r="H19">
        <f>F19*E19*G19</f>
        <v/>
      </c>
    </row>
    <row r="20">
      <c r="A20" t="inlineStr">
        <is>
          <t>MTR-85088</t>
        </is>
      </c>
      <c r="B20" t="inlineStr">
        <is>
          <t>Velour Cosmetics</t>
        </is>
      </c>
      <c r="C20" t="inlineStr">
        <is>
          <t>Soft Focus Blush</t>
        </is>
      </c>
      <c r="D20" t="inlineStr">
        <is>
          <t>Rosewood</t>
        </is>
      </c>
      <c r="E20" t="n">
        <v>12</v>
      </c>
      <c r="F20" t="n">
        <v>2</v>
      </c>
      <c r="G20" t="n">
        <v>14.4</v>
      </c>
      <c r="H20">
        <f>F20*E20*G20</f>
        <v/>
      </c>
    </row>
    <row r="21">
      <c r="A21" t="inlineStr">
        <is>
          <t>MTR-16653</t>
        </is>
      </c>
      <c r="B21" t="inlineStr">
        <is>
          <t>Solenne Paris</t>
        </is>
      </c>
      <c r="C21" t="inlineStr">
        <is>
          <t>Masque Éclat Radiance Mask</t>
        </is>
      </c>
      <c r="D21" t="inlineStr">
        <is>
          <t>75 ml</t>
        </is>
      </c>
      <c r="E21" t="n">
        <v>6</v>
      </c>
      <c r="F21" t="n">
        <v>6</v>
      </c>
      <c r="G21" t="n">
        <v>45.36</v>
      </c>
      <c r="H21">
        <f>F21*E21*G21</f>
        <v/>
      </c>
    </row>
    <row r="22">
      <c r="A22" t="inlineStr">
        <is>
          <t>MTR-28430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5N Amber</t>
        </is>
      </c>
      <c r="E22" t="n">
        <v>12</v>
      </c>
      <c r="F22" t="n">
        <v>2</v>
      </c>
      <c r="G22" t="n">
        <v>15.43</v>
      </c>
      <c r="H22">
        <f>F22*E22*G22</f>
        <v/>
      </c>
    </row>
    <row r="23">
      <c r="A23" t="inlineStr">
        <is>
          <t>MTR-27507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115 Sable</t>
        </is>
      </c>
      <c r="E23" t="n">
        <v>12</v>
      </c>
      <c r="F23" t="n">
        <v>4</v>
      </c>
      <c r="G23" t="n">
        <v>5.7</v>
      </c>
      <c r="H23">
        <f>F23*E23*G23</f>
        <v/>
      </c>
    </row>
    <row r="24">
      <c r="A24" t="inlineStr">
        <is>
          <t>MTR-99173</t>
        </is>
      </c>
      <c r="B24" t="inlineStr">
        <is>
          <t>Lune Rouge</t>
        </is>
      </c>
      <c r="C24" t="inlineStr">
        <is>
          <t>Lacquer Nail Colour</t>
        </is>
      </c>
      <c r="D24" t="inlineStr">
        <is>
          <t>145 Bordeaux</t>
        </is>
      </c>
      <c r="E24" t="n">
        <v>12</v>
      </c>
      <c r="F24" t="n">
        <v>4</v>
      </c>
      <c r="G24" t="n">
        <v>6.01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
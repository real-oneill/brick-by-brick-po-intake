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FK-T4" sheetId="1" state="visible" r:id="rId1"/>
    <sheet name="SIN-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MTR-JFK-26-6752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17-Oct-2026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MTR-38947</t>
        </is>
      </c>
      <c r="B10" t="inlineStr">
        <is>
          <t>Lune Rouge</t>
        </is>
      </c>
      <c r="C10" t="inlineStr">
        <is>
          <t>Lacquer Nail Colour</t>
        </is>
      </c>
      <c r="D10" t="inlineStr">
        <is>
          <t>110 Ballet</t>
        </is>
      </c>
      <c r="E10" t="n">
        <v>12</v>
      </c>
      <c r="F10" t="n">
        <v>6</v>
      </c>
      <c r="G10" t="n">
        <v>5.85</v>
      </c>
      <c r="H10">
        <f>F10*E10*G10</f>
        <v/>
      </c>
    </row>
    <row r="11">
      <c r="A11" t="inlineStr">
        <is>
          <t>MTR-84420</t>
        </is>
      </c>
      <c r="B11" t="inlineStr">
        <is>
          <t>Velour Cosmetics</t>
        </is>
      </c>
      <c r="C11" t="inlineStr">
        <is>
          <t>Velvet Matte Foundation 30 ml</t>
        </is>
      </c>
      <c r="D11" t="inlineStr">
        <is>
          <t>2N Linen</t>
        </is>
      </c>
      <c r="E11" t="n">
        <v>12</v>
      </c>
      <c r="F11" t="n">
        <v>1</v>
      </c>
      <c r="G11" t="n">
        <v>16.51</v>
      </c>
      <c r="H11">
        <f>F11*E11*G11</f>
        <v/>
      </c>
    </row>
    <row r="12">
      <c r="A12" t="inlineStr">
        <is>
          <t>MTR-85088</t>
        </is>
      </c>
      <c r="B12" t="inlineStr">
        <is>
          <t>Velour Cosmetics</t>
        </is>
      </c>
      <c r="C12" t="inlineStr">
        <is>
          <t>Soft Focus Blush</t>
        </is>
      </c>
      <c r="D12" t="inlineStr">
        <is>
          <t>Rosewood</t>
        </is>
      </c>
      <c r="E12" t="n">
        <v>12</v>
      </c>
      <c r="F12" t="n">
        <v>6</v>
      </c>
      <c r="G12" t="n">
        <v>14.4</v>
      </c>
      <c r="H12">
        <f>F12*E12*G12</f>
        <v/>
      </c>
    </row>
    <row r="13">
      <c r="A13" t="inlineStr">
        <is>
          <t>MTR-80453</t>
        </is>
      </c>
      <c r="B13" t="inlineStr">
        <is>
          <t>Lune Rouge</t>
        </is>
      </c>
      <c r="C13" t="inlineStr">
        <is>
          <t>Lacquer Nail Colour</t>
        </is>
      </c>
      <c r="D13" t="inlineStr">
        <is>
          <t>135 Lilac</t>
        </is>
      </c>
      <c r="E13" t="n">
        <v>12</v>
      </c>
      <c r="F13" t="n">
        <v>4</v>
      </c>
      <c r="G13" t="n">
        <v>6.11</v>
      </c>
      <c r="H13">
        <f>F13*E13*G13</f>
        <v/>
      </c>
    </row>
    <row r="14">
      <c r="A14" t="inlineStr">
        <is>
          <t>MTR-99167</t>
        </is>
      </c>
      <c r="B14" t="inlineStr">
        <is>
          <t>Lune Rouge</t>
        </is>
      </c>
      <c r="C14" t="inlineStr">
        <is>
          <t>Lip Gloss Mirror</t>
        </is>
      </c>
      <c r="D14" t="inlineStr">
        <is>
          <t>Clear</t>
        </is>
      </c>
      <c r="E14" t="n">
        <v>12</v>
      </c>
      <c r="F14" t="n">
        <v>4</v>
      </c>
      <c r="G14" t="n">
        <v>7.98</v>
      </c>
      <c r="H14">
        <f>F14*E14*G14</f>
        <v/>
      </c>
    </row>
    <row r="15">
      <c r="A15" t="inlineStr">
        <is>
          <t>MTR-69634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120 Midnight</t>
        </is>
      </c>
      <c r="E15" t="n">
        <v>12</v>
      </c>
      <c r="F15" t="n">
        <v>2</v>
      </c>
      <c r="G15" t="n">
        <v>6.28</v>
      </c>
      <c r="H15">
        <f>F15*E15*G15</f>
        <v/>
      </c>
    </row>
    <row r="16">
      <c r="A16" t="inlineStr">
        <is>
          <t>MTR-47649</t>
        </is>
      </c>
      <c r="B16" t="inlineStr">
        <is>
          <t>Atelier Noor</t>
        </is>
      </c>
      <c r="C16" t="inlineStr">
        <is>
          <t>Vétiver Nocturne Eau de Toilette</t>
        </is>
      </c>
      <c r="D16" t="inlineStr">
        <is>
          <t>100 ml</t>
        </is>
      </c>
      <c r="E16" t="n">
        <v>6</v>
      </c>
      <c r="F16" t="n">
        <v>4</v>
      </c>
      <c r="G16" t="n">
        <v>87.52</v>
      </c>
      <c r="H16">
        <f>F16*E16*G16</f>
        <v/>
      </c>
    </row>
    <row r="17">
      <c r="A17" t="inlineStr">
        <is>
          <t>MTR-36497</t>
        </is>
      </c>
      <c r="B17" t="inlineStr">
        <is>
          <t>Lune Rouge</t>
        </is>
      </c>
      <c r="C17" t="inlineStr">
        <is>
          <t>Glow Highlighter</t>
        </is>
      </c>
      <c r="D17" t="inlineStr">
        <is>
          <t>Moonstone</t>
        </is>
      </c>
      <c r="E17" t="n">
        <v>12</v>
      </c>
      <c r="F17" t="n">
        <v>1</v>
      </c>
      <c r="G17" t="n">
        <v>10.69</v>
      </c>
      <c r="H17">
        <f>F17*E17*G17</f>
        <v/>
      </c>
    </row>
    <row r="18">
      <c r="A18" t="inlineStr">
        <is>
          <t>MTR-85166</t>
        </is>
      </c>
      <c r="B18" t="inlineStr">
        <is>
          <t>Solenne Paris</t>
        </is>
      </c>
      <c r="C18" t="inlineStr">
        <is>
          <t>Sérum Absolu Regenerating Serum</t>
        </is>
      </c>
      <c r="D18" t="inlineStr">
        <is>
          <t>30 ml</t>
        </is>
      </c>
      <c r="E18" t="n">
        <v>6</v>
      </c>
      <c r="F18" t="n">
        <v>3</v>
      </c>
      <c r="G18" t="n">
        <v>42.51</v>
      </c>
      <c r="H18">
        <f>F18*E18*G18</f>
        <v/>
      </c>
    </row>
    <row r="19">
      <c r="A19" t="inlineStr">
        <is>
          <t>MTR-99173</t>
        </is>
      </c>
      <c r="B19" t="inlineStr">
        <is>
          <t>Lune Rouge</t>
        </is>
      </c>
      <c r="C19" t="inlineStr">
        <is>
          <t>Lacquer Nail Colour</t>
        </is>
      </c>
      <c r="D19" t="inlineStr">
        <is>
          <t>145 Bordeaux</t>
        </is>
      </c>
      <c r="E19" t="n">
        <v>12</v>
      </c>
      <c r="F19" t="n">
        <v>1</v>
      </c>
      <c r="G19" t="n">
        <v>6.01</v>
      </c>
      <c r="H19">
        <f>F19*E19*G19</f>
        <v/>
      </c>
    </row>
    <row r="20" hidden="1">
      <c r="A20" t="inlineStr">
        <is>
          <t>MTR-27322</t>
        </is>
      </c>
      <c r="B20" t="inlineStr"/>
      <c r="C20" t="inlineStr">
        <is>
          <t>Holiday Vault Set Exclusive</t>
        </is>
      </c>
      <c r="D20" t="inlineStr"/>
      <c r="E20" t="inlineStr"/>
      <c r="F20" t="n">
        <v>1</v>
      </c>
      <c r="G20" t="n">
        <v>47.82</v>
      </c>
      <c r="H20">
        <f>F20*G20</f>
        <v/>
      </c>
    </row>
    <row r="22">
      <c r="A22" t="inlineStr">
        <is>
          <t>MTR-75866</t>
        </is>
      </c>
      <c r="B22" t="inlineStr">
        <is>
          <t>Velour Cosmetics</t>
        </is>
      </c>
      <c r="C22" t="inlineStr">
        <is>
          <t>Brow Sculpt Pencil</t>
        </is>
      </c>
      <c r="D22" t="inlineStr">
        <is>
          <t>Brunette</t>
        </is>
      </c>
      <c r="E22" t="n">
        <v>12</v>
      </c>
      <c r="F22" t="n">
        <v>3</v>
      </c>
      <c r="G22" t="n">
        <v>9.039999999999999</v>
      </c>
      <c r="H22">
        <f>F22*E22*G22</f>
        <v/>
      </c>
    </row>
    <row r="24">
      <c r="A24" t="inlineStr"/>
      <c r="B24" t="inlineStr"/>
      <c r="C24" s="3" t="inlineStr">
        <is>
          <t>TOTAL</t>
        </is>
      </c>
      <c r="D24" t="inlineStr"/>
      <c r="E24" t="inlineStr"/>
      <c r="F24">
        <f>SUM(F10:F21)</f>
        <v/>
      </c>
      <c r="G24" t="inlineStr"/>
      <c r="H24">
        <f>SUM(H10:H21)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MTR-SIN-26-4410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19-Oct-2026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MTR-47941</t>
        </is>
      </c>
      <c r="B10" t="inlineStr">
        <is>
          <t>Velour Cosmetics</t>
        </is>
      </c>
      <c r="C10" t="inlineStr">
        <is>
          <t>Satin Lip Colour</t>
        </is>
      </c>
      <c r="D10" t="inlineStr">
        <is>
          <t>01 Nude Silk</t>
        </is>
      </c>
      <c r="E10" t="n">
        <v>12</v>
      </c>
      <c r="F10" t="n">
        <v>2</v>
      </c>
      <c r="G10" t="n">
        <v>11.77</v>
      </c>
      <c r="H10">
        <f>F10*E10*G10</f>
        <v/>
      </c>
    </row>
    <row r="11">
      <c r="A11" t="inlineStr">
        <is>
          <t>MTR-72608</t>
        </is>
      </c>
      <c r="B11" t="inlineStr"/>
      <c r="C11" t="inlineStr">
        <is>
          <t>Advent Calendar 2026</t>
        </is>
      </c>
      <c r="D11" t="inlineStr"/>
      <c r="E11" t="inlineStr"/>
      <c r="F11" t="n">
        <v>2</v>
      </c>
      <c r="G11" t="n">
        <v>60.11</v>
      </c>
      <c r="H11">
        <f>F11*G11</f>
        <v/>
      </c>
    </row>
    <row r="12" hidden="1">
      <c r="A12" t="inlineStr">
        <is>
          <t>MTR-34420</t>
        </is>
      </c>
      <c r="B12" t="inlineStr">
        <is>
          <t>Atelier Noor</t>
        </is>
      </c>
      <c r="C12" t="inlineStr">
        <is>
          <t>Iris Poudré Eau de Parfum</t>
        </is>
      </c>
      <c r="D12" t="inlineStr">
        <is>
          <t>100 ml</t>
        </is>
      </c>
      <c r="E12" t="n">
        <v>6</v>
      </c>
      <c r="F12" t="n">
        <v>3</v>
      </c>
      <c r="G12" t="n">
        <v>103.77</v>
      </c>
      <c r="H12">
        <f>F12*E12*G12</f>
        <v/>
      </c>
    </row>
    <row r="14">
      <c r="A14" t="inlineStr">
        <is>
          <t>MTR-75866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Brunette</t>
        </is>
      </c>
      <c r="E14" t="n">
        <v>12</v>
      </c>
      <c r="F14" t="n">
        <v>1</v>
      </c>
      <c r="G14" t="n">
        <v>9.039999999999999</v>
      </c>
      <c r="H14">
        <f>F14*E14*G14</f>
        <v/>
      </c>
    </row>
    <row r="15">
      <c r="A15" t="inlineStr">
        <is>
          <t>MTR-93717</t>
        </is>
      </c>
      <c r="B15" t="inlineStr">
        <is>
          <t>Lune Rouge</t>
        </is>
      </c>
      <c r="C15" t="inlineStr">
        <is>
          <t>Lacquer Nail Colour</t>
        </is>
      </c>
      <c r="D15" t="inlineStr">
        <is>
          <t>101 Opera</t>
        </is>
      </c>
      <c r="E15" t="n">
        <v>12</v>
      </c>
      <c r="F15" t="n">
        <v>1</v>
      </c>
      <c r="G15" t="n">
        <v>6</v>
      </c>
      <c r="H15">
        <f>F15*E15*G15</f>
        <v/>
      </c>
    </row>
    <row r="16">
      <c r="A16" t="inlineStr">
        <is>
          <t>MTR-94659</t>
        </is>
      </c>
      <c r="B16" t="inlineStr">
        <is>
          <t>Atelier Noor</t>
        </is>
      </c>
      <c r="C16" t="inlineStr">
        <is>
          <t>Néroli Soleil Eau de Toilette</t>
        </is>
      </c>
      <c r="D16" t="inlineStr">
        <is>
          <t>50 ml</t>
        </is>
      </c>
      <c r="E16" t="n">
        <v>6</v>
      </c>
      <c r="F16" t="n">
        <v>2</v>
      </c>
      <c r="G16" t="n">
        <v>51.2</v>
      </c>
      <c r="H16">
        <f>F16*E16*G16</f>
        <v/>
      </c>
    </row>
    <row r="17">
      <c r="A17" t="inlineStr">
        <is>
          <t>MTR-72350</t>
        </is>
      </c>
      <c r="B17" t="inlineStr">
        <is>
          <t>Atelier Noor</t>
        </is>
      </c>
      <c r="C17" t="inlineStr">
        <is>
          <t>Rose Ambrée Eau de Parfum</t>
        </is>
      </c>
      <c r="D17" t="inlineStr">
        <is>
          <t>100 ml</t>
        </is>
      </c>
      <c r="E17" t="n">
        <v>6</v>
      </c>
      <c r="F17" t="n">
        <v>2</v>
      </c>
      <c r="G17" t="n">
        <v>112.82</v>
      </c>
      <c r="H17">
        <f>F17*E17*G17</f>
        <v/>
      </c>
    </row>
    <row r="18">
      <c r="A18" t="inlineStr">
        <is>
          <t>MTR-47700</t>
        </is>
      </c>
      <c r="B18" t="inlineStr">
        <is>
          <t>Solenne Paris</t>
        </is>
      </c>
      <c r="C18" t="inlineStr">
        <is>
          <t>Crème Lumière Day Cream</t>
        </is>
      </c>
      <c r="D18" t="inlineStr">
        <is>
          <t>50 ml</t>
        </is>
      </c>
      <c r="E18" t="n">
        <v>6</v>
      </c>
      <c r="F18" t="n">
        <v>2</v>
      </c>
      <c r="G18" t="n">
        <v>51.67</v>
      </c>
      <c r="H18">
        <f>F18*E18*G18</f>
        <v/>
      </c>
    </row>
    <row r="19">
      <c r="A19" t="inlineStr">
        <is>
          <t>MTR-82135</t>
        </is>
      </c>
      <c r="B19" t="inlineStr">
        <is>
          <t>Atelier Noor</t>
        </is>
      </c>
      <c r="C19" t="inlineStr">
        <is>
          <t>Rose Ambrée Eau de Parfum</t>
        </is>
      </c>
      <c r="D19" t="inlineStr">
        <is>
          <t>30 ml</t>
        </is>
      </c>
      <c r="E19" t="n">
        <v>12</v>
      </c>
      <c r="F19" t="n">
        <v>1</v>
      </c>
      <c r="G19" t="n">
        <v>53.23</v>
      </c>
      <c r="H19">
        <f>F19*E19*G19</f>
        <v/>
      </c>
    </row>
    <row r="20">
      <c r="A20" t="inlineStr">
        <is>
          <t>MTR-74738</t>
        </is>
      </c>
      <c r="B20" t="inlineStr">
        <is>
          <t>Velour Cosmetics</t>
        </is>
      </c>
      <c r="C20" t="inlineStr">
        <is>
          <t>Satin Lip Colour</t>
        </is>
      </c>
      <c r="D20" t="inlineStr">
        <is>
          <t>15 Cerise</t>
        </is>
      </c>
      <c r="E20" t="n">
        <v>12</v>
      </c>
      <c r="F20" t="n">
        <v>2</v>
      </c>
      <c r="G20" t="n">
        <v>12.98</v>
      </c>
      <c r="H20">
        <f>F20*E20*G20</f>
        <v/>
      </c>
    </row>
    <row r="22">
      <c r="A22" t="inlineStr"/>
      <c r="B22" t="inlineStr"/>
      <c r="C22" s="3" t="inlineStr">
        <is>
          <t>TOTAL</t>
        </is>
      </c>
      <c r="D22" t="inlineStr"/>
      <c r="E22" t="inlineStr"/>
      <c r="F22">
        <f>SUM(F10:F19)</f>
        <v/>
      </c>
      <c r="G22" t="inlineStr"/>
      <c r="H22">
        <f>SUM(H10:H19)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
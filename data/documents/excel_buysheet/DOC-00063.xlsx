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G-2E" sheetId="1" state="visible" r:id="rId1"/>
    <sheet name="DXB-T3" sheetId="2" state="visible" r:id="rId2"/>
    <sheet name="JFK-T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MTR-CDG-26-7032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05-Oct-2026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MTR-20358</t>
        </is>
      </c>
      <c r="B10" t="inlineStr">
        <is>
          <t>Solenne Paris</t>
        </is>
      </c>
      <c r="C10" t="inlineStr">
        <is>
          <t>Baume Nuit Night Balm</t>
        </is>
      </c>
      <c r="D10" t="inlineStr">
        <is>
          <t>30 ml</t>
        </is>
      </c>
      <c r="E10" t="n">
        <v>6</v>
      </c>
      <c r="F10" t="n">
        <v>2</v>
      </c>
      <c r="G10" t="n">
        <v>36.02</v>
      </c>
      <c r="H10">
        <f>F10*E10*G10</f>
        <v/>
      </c>
    </row>
    <row r="11">
      <c r="A11" t="inlineStr">
        <is>
          <t>MTR-28018</t>
        </is>
      </c>
      <c r="B11" t="inlineStr">
        <is>
          <t>Atelier Noor</t>
        </is>
      </c>
      <c r="C11" t="inlineStr">
        <is>
          <t>Oud Saffron Eau de Parfum</t>
        </is>
      </c>
      <c r="D11" t="inlineStr">
        <is>
          <t>100 ml</t>
        </is>
      </c>
      <c r="E11" t="n">
        <v>6</v>
      </c>
      <c r="F11" t="n">
        <v>2</v>
      </c>
      <c r="G11" t="n">
        <v>104.61</v>
      </c>
      <c r="H11">
        <f>F11*E11*G11</f>
        <v/>
      </c>
    </row>
    <row r="12">
      <c r="A12" t="inlineStr">
        <is>
          <t>MTR-78202</t>
        </is>
      </c>
      <c r="B12" t="inlineStr">
        <is>
          <t>Lune Rouge</t>
        </is>
      </c>
      <c r="C12" t="inlineStr">
        <is>
          <t>Glow Highlighter</t>
        </is>
      </c>
      <c r="D12" t="inlineStr">
        <is>
          <t>Rose Gold</t>
        </is>
      </c>
      <c r="E12" t="n">
        <v>12</v>
      </c>
      <c r="F12" t="n">
        <v>2</v>
      </c>
      <c r="G12" t="n">
        <v>9.789999999999999</v>
      </c>
      <c r="H12">
        <f>F12*E12*G12</f>
        <v/>
      </c>
    </row>
    <row r="13">
      <c r="A13" t="inlineStr">
        <is>
          <t>MTR-29641</t>
        </is>
      </c>
      <c r="B13" t="inlineStr">
        <is>
          <t>Lune Rouge</t>
        </is>
      </c>
      <c r="C13" t="inlineStr">
        <is>
          <t>Glow Highlighter</t>
        </is>
      </c>
      <c r="D13" t="inlineStr">
        <is>
          <t>Champagne</t>
        </is>
      </c>
      <c r="E13" t="n">
        <v>12</v>
      </c>
      <c r="F13" t="n">
        <v>4</v>
      </c>
      <c r="G13" t="n">
        <v>10.49</v>
      </c>
      <c r="H13">
        <f>F13*E13*G13</f>
        <v/>
      </c>
    </row>
    <row r="15">
      <c r="A15" t="inlineStr"/>
      <c r="B15" t="inlineStr"/>
      <c r="C15" s="3" t="inlineStr">
        <is>
          <t>TOTAL</t>
        </is>
      </c>
      <c r="D15" t="inlineStr"/>
      <c r="E15" t="inlineStr"/>
      <c r="F15">
        <f>SUM(F10:F12)</f>
        <v/>
      </c>
      <c r="G15" t="inlineStr"/>
      <c r="H15">
        <f>SUM(H10:H12)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MTR-DXB-26-9531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25-Sep-2026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MTR-67983</t>
        </is>
      </c>
      <c r="B10" t="inlineStr">
        <is>
          <t>Solenne Paris</t>
        </is>
      </c>
      <c r="C10" t="inlineStr">
        <is>
          <t>Baume Nuit Night Balm</t>
        </is>
      </c>
      <c r="D10" t="inlineStr">
        <is>
          <t>50 ml</t>
        </is>
      </c>
      <c r="E10" t="n">
        <v>6</v>
      </c>
      <c r="F10" t="n">
        <v>1</v>
      </c>
      <c r="G10" t="n">
        <v>56.98</v>
      </c>
      <c r="H10">
        <f>F10*E10*G10</f>
        <v/>
      </c>
    </row>
    <row r="11" hidden="1">
      <c r="A11" t="inlineStr">
        <is>
          <t>MTR-86434</t>
        </is>
      </c>
      <c r="B11" t="inlineStr">
        <is>
          <t>Lune Rouge</t>
        </is>
      </c>
      <c r="C11" t="inlineStr">
        <is>
          <t>Lip Gloss Mirror</t>
        </is>
      </c>
      <c r="D11" t="inlineStr">
        <is>
          <t>Pink Pearl</t>
        </is>
      </c>
      <c r="E11" t="n">
        <v>12</v>
      </c>
      <c r="F11" t="n">
        <v>1</v>
      </c>
      <c r="G11" t="n">
        <v>8.08</v>
      </c>
      <c r="H11">
        <f>F11*E11*G11</f>
        <v/>
      </c>
    </row>
    <row r="13">
      <c r="A13" t="inlineStr">
        <is>
          <t>MTR-27507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115 Sable</t>
        </is>
      </c>
      <c r="E13" t="n">
        <v>12</v>
      </c>
      <c r="F13" t="n">
        <v>1</v>
      </c>
      <c r="G13" t="n">
        <v>5.7</v>
      </c>
      <c r="H13">
        <f>F13*E13*G13</f>
        <v/>
      </c>
    </row>
    <row r="14">
      <c r="A14" t="inlineStr">
        <is>
          <t>MTR-79604</t>
        </is>
      </c>
      <c r="B14" t="inlineStr">
        <is>
          <t>Solenne Paris</t>
        </is>
      </c>
      <c r="C14" t="inlineStr">
        <is>
          <t>Lotion Essentielle Toner</t>
        </is>
      </c>
      <c r="D14" t="inlineStr">
        <is>
          <t>150 ml</t>
        </is>
      </c>
      <c r="E14" t="n">
        <v>6</v>
      </c>
      <c r="F14" t="n">
        <v>4</v>
      </c>
      <c r="G14" t="n">
        <v>45.25</v>
      </c>
      <c r="H14">
        <f>F14*E14*G14</f>
        <v/>
      </c>
    </row>
    <row r="15">
      <c r="A15" t="inlineStr">
        <is>
          <t>MTR-47941</t>
        </is>
      </c>
      <c r="B15" t="inlineStr">
        <is>
          <t>Velour Cosmetics</t>
        </is>
      </c>
      <c r="C15" t="inlineStr">
        <is>
          <t>Satin Lip Colour</t>
        </is>
      </c>
      <c r="D15" t="inlineStr">
        <is>
          <t>01 Nude Silk</t>
        </is>
      </c>
      <c r="E15" t="n">
        <v>12</v>
      </c>
      <c r="F15" t="n">
        <v>2</v>
      </c>
      <c r="G15" t="n">
        <v>11.77</v>
      </c>
      <c r="H15">
        <f>F15*E15*G15</f>
        <v/>
      </c>
    </row>
    <row r="16">
      <c r="A16" t="inlineStr">
        <is>
          <t>MTR-85497</t>
        </is>
      </c>
      <c r="B16" t="inlineStr"/>
      <c r="C16" t="inlineStr">
        <is>
          <t>Argan Miracle Oil</t>
        </is>
      </c>
      <c r="D16" t="inlineStr"/>
      <c r="E16" t="inlineStr"/>
      <c r="F16" t="n">
        <v>1</v>
      </c>
      <c r="G16" t="n">
        <v>32.53</v>
      </c>
      <c r="H16">
        <f>F16*G16</f>
        <v/>
      </c>
    </row>
    <row r="17">
      <c r="A17" t="inlineStr">
        <is>
          <t>MTR-74738</t>
        </is>
      </c>
      <c r="B17" t="inlineStr">
        <is>
          <t>Velour Cosmetics</t>
        </is>
      </c>
      <c r="C17" t="inlineStr">
        <is>
          <t>Satin Lip Colour</t>
        </is>
      </c>
      <c r="D17" t="inlineStr">
        <is>
          <t>15 Cerise</t>
        </is>
      </c>
      <c r="E17" t="n">
        <v>12</v>
      </c>
      <c r="F17" t="n">
        <v>1</v>
      </c>
      <c r="G17" t="n">
        <v>12.98</v>
      </c>
      <c r="H17">
        <f>F17*E17*G17</f>
        <v/>
      </c>
    </row>
    <row r="18">
      <c r="A18" t="inlineStr">
        <is>
          <t>MTR-85088</t>
        </is>
      </c>
      <c r="B18" t="inlineStr">
        <is>
          <t>Velour Cosmetics</t>
        </is>
      </c>
      <c r="C18" t="inlineStr">
        <is>
          <t>Soft Focus Blush</t>
        </is>
      </c>
      <c r="D18" t="inlineStr">
        <is>
          <t>Rosewood</t>
        </is>
      </c>
      <c r="E18" t="n">
        <v>12</v>
      </c>
      <c r="F18" t="n">
        <v>3</v>
      </c>
      <c r="G18" t="n">
        <v>14.4</v>
      </c>
      <c r="H18">
        <f>F18*E18*G18</f>
        <v/>
      </c>
    </row>
    <row r="19">
      <c r="A19" t="inlineStr">
        <is>
          <t>MTR-47700</t>
        </is>
      </c>
      <c r="B19" t="inlineStr">
        <is>
          <t>Solenne Paris</t>
        </is>
      </c>
      <c r="C19" t="inlineStr">
        <is>
          <t>Crème Lumière Day Cream</t>
        </is>
      </c>
      <c r="D19" t="inlineStr">
        <is>
          <t>50 ml</t>
        </is>
      </c>
      <c r="E19" t="n">
        <v>6</v>
      </c>
      <c r="F19" t="n">
        <v>1</v>
      </c>
      <c r="G19" t="n">
        <v>51.67</v>
      </c>
      <c r="H19">
        <f>F19*E19*G19</f>
        <v/>
      </c>
    </row>
    <row r="21">
      <c r="A21" t="inlineStr"/>
      <c r="B21" t="inlineStr"/>
      <c r="C21" s="3" t="inlineStr">
        <is>
          <t>TOTAL</t>
        </is>
      </c>
      <c r="D21" t="inlineStr"/>
      <c r="E21" t="inlineStr"/>
      <c r="F21">
        <f>SUM(F10:F18)</f>
        <v/>
      </c>
      <c r="G21" t="inlineStr"/>
      <c r="H21">
        <f>SUM(H10:H18)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MTR-JFK-26-4461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06-Oct-2026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MTR-28430</t>
        </is>
      </c>
      <c r="B10" t="inlineStr">
        <is>
          <t>Velour Cosmetics</t>
        </is>
      </c>
      <c r="C10" t="inlineStr">
        <is>
          <t>Velvet Matte Foundation 30 ml</t>
        </is>
      </c>
      <c r="D10" t="inlineStr">
        <is>
          <t>5N Amber</t>
        </is>
      </c>
      <c r="E10" t="n">
        <v>12</v>
      </c>
      <c r="F10" t="n">
        <v>2</v>
      </c>
      <c r="G10" t="n">
        <v>17.14</v>
      </c>
      <c r="H10">
        <f>F10*E10*G10</f>
        <v/>
      </c>
    </row>
    <row r="11">
      <c r="A11" t="inlineStr">
        <is>
          <t>MTR-29641</t>
        </is>
      </c>
      <c r="B11" t="inlineStr">
        <is>
          <t>Lune Rouge</t>
        </is>
      </c>
      <c r="C11" t="inlineStr">
        <is>
          <t>Glow Highlighter</t>
        </is>
      </c>
      <c r="D11" t="inlineStr">
        <is>
          <t>Champagne</t>
        </is>
      </c>
      <c r="E11" t="n">
        <v>12</v>
      </c>
      <c r="F11" t="n">
        <v>2</v>
      </c>
      <c r="G11" t="n">
        <v>11.25</v>
      </c>
      <c r="H11">
        <f>F11*E11*G11</f>
        <v/>
      </c>
    </row>
    <row r="12" hidden="1">
      <c r="A12" t="inlineStr">
        <is>
          <t>MTR-78202</t>
        </is>
      </c>
      <c r="B12" t="inlineStr">
        <is>
          <t>Lune Rouge</t>
        </is>
      </c>
      <c r="C12" t="inlineStr">
        <is>
          <t>Glow Highlighter</t>
        </is>
      </c>
      <c r="D12" t="inlineStr">
        <is>
          <t>Rose Gold</t>
        </is>
      </c>
      <c r="E12" t="n">
        <v>12</v>
      </c>
      <c r="F12" t="n">
        <v>1</v>
      </c>
      <c r="G12" t="n">
        <v>10.77</v>
      </c>
      <c r="H12">
        <f>F12*E12*G12</f>
        <v/>
      </c>
    </row>
    <row r="14">
      <c r="A14" t="inlineStr">
        <is>
          <t>MTR-16653</t>
        </is>
      </c>
      <c r="B14" t="inlineStr">
        <is>
          <t>Solenne Paris</t>
        </is>
      </c>
      <c r="C14" t="inlineStr">
        <is>
          <t>Masque Éclat Radiance Mask</t>
        </is>
      </c>
      <c r="D14" t="inlineStr">
        <is>
          <t>75 ml</t>
        </is>
      </c>
      <c r="E14" t="n">
        <v>6</v>
      </c>
      <c r="F14" t="n">
        <v>2</v>
      </c>
      <c r="G14" t="n">
        <v>45.36</v>
      </c>
      <c r="H14">
        <f>F14*E14*G14</f>
        <v/>
      </c>
    </row>
    <row r="15">
      <c r="A15" t="inlineStr">
        <is>
          <t>MTR-61712</t>
        </is>
      </c>
      <c r="B15" t="inlineStr">
        <is>
          <t>Solenne Paris</t>
        </is>
      </c>
      <c r="C15" t="inlineStr">
        <is>
          <t>Crème Lumière Day Cream</t>
        </is>
      </c>
      <c r="D15" t="inlineStr">
        <is>
          <t>15 ml</t>
        </is>
      </c>
      <c r="E15" t="n">
        <v>6</v>
      </c>
      <c r="F15" t="n">
        <v>2</v>
      </c>
      <c r="G15" t="n">
        <v>26.02</v>
      </c>
      <c r="H15">
        <f>F15*E15*G15</f>
        <v/>
      </c>
    </row>
    <row r="16">
      <c r="A16" t="inlineStr">
        <is>
          <t>MTR-81989</t>
        </is>
      </c>
      <c r="B16" t="inlineStr">
        <is>
          <t>Lune Rouge</t>
        </is>
      </c>
      <c r="C16" t="inlineStr">
        <is>
          <t>Lacquer Nail Colour</t>
        </is>
      </c>
      <c r="D16" t="inlineStr">
        <is>
          <t>130 Coral Reef</t>
        </is>
      </c>
      <c r="E16" t="n">
        <v>12</v>
      </c>
      <c r="F16" t="n">
        <v>3</v>
      </c>
      <c r="G16" t="n">
        <v>5.92</v>
      </c>
      <c r="H16">
        <f>F16*E16*G16</f>
        <v/>
      </c>
    </row>
    <row r="17">
      <c r="A17" t="inlineStr">
        <is>
          <t>MTR-30701</t>
        </is>
      </c>
      <c r="B17" t="inlineStr">
        <is>
          <t>Atelier Noor</t>
        </is>
      </c>
      <c r="C17" t="inlineStr">
        <is>
          <t>Rose Ambrée Eau de Parfum</t>
        </is>
      </c>
      <c r="D17" t="inlineStr">
        <is>
          <t>50 ml</t>
        </is>
      </c>
      <c r="E17" t="n">
        <v>6</v>
      </c>
      <c r="F17" t="n">
        <v>3</v>
      </c>
      <c r="G17" t="n">
        <v>71.13</v>
      </c>
      <c r="H17">
        <f>F17*E17*G17</f>
        <v/>
      </c>
    </row>
    <row r="18">
      <c r="A18" t="inlineStr">
        <is>
          <t>MTR-79228</t>
        </is>
      </c>
      <c r="B18" t="inlineStr">
        <is>
          <t>Lune Rouge</t>
        </is>
      </c>
      <c r="C18" t="inlineStr">
        <is>
          <t>Precision Liquid Eyeliner</t>
        </is>
      </c>
      <c r="D18" t="inlineStr">
        <is>
          <t>Brown</t>
        </is>
      </c>
      <c r="E18" t="n">
        <v>12</v>
      </c>
      <c r="F18" t="n">
        <v>1</v>
      </c>
      <c r="G18" t="n">
        <v>9.380000000000001</v>
      </c>
      <c r="H18">
        <f>F18*E18*G18</f>
        <v/>
      </c>
    </row>
    <row r="19">
      <c r="A19" t="inlineStr">
        <is>
          <t>MTR-44995</t>
        </is>
      </c>
      <c r="B19" t="inlineStr">
        <is>
          <t>Velour Cosmetics</t>
        </is>
      </c>
      <c r="C19" t="inlineStr">
        <is>
          <t>Velvet Matte Foundation 30 ml</t>
        </is>
      </c>
      <c r="D19" t="inlineStr">
        <is>
          <t>7N Ebony</t>
        </is>
      </c>
      <c r="E19" t="n">
        <v>12</v>
      </c>
      <c r="F19" t="n">
        <v>6</v>
      </c>
      <c r="G19" t="n">
        <v>18.54</v>
      </c>
      <c r="H19">
        <f>F19*E19*G19</f>
        <v/>
      </c>
    </row>
    <row r="20">
      <c r="A20" t="inlineStr">
        <is>
          <t>MTR-84420</t>
        </is>
      </c>
      <c r="B20" t="inlineStr">
        <is>
          <t>Velour Cosmetics</t>
        </is>
      </c>
      <c r="C20" t="inlineStr">
        <is>
          <t>Velvet Matte Foundation 30 ml</t>
        </is>
      </c>
      <c r="D20" t="inlineStr">
        <is>
          <t>2N Linen</t>
        </is>
      </c>
      <c r="E20" t="n">
        <v>12</v>
      </c>
      <c r="F20" t="n">
        <v>1</v>
      </c>
      <c r="G20" t="n">
        <v>18.76</v>
      </c>
      <c r="H20">
        <f>F20*E20*G20</f>
        <v/>
      </c>
    </row>
    <row r="21">
      <c r="A21" t="inlineStr">
        <is>
          <t>MTR-34334</t>
        </is>
      </c>
      <c r="B21" t="inlineStr"/>
      <c r="C21" t="inlineStr">
        <is>
          <t>Overnight Peel Pads</t>
        </is>
      </c>
      <c r="D21" t="inlineStr"/>
      <c r="E21" t="inlineStr"/>
      <c r="F21" t="n">
        <v>2</v>
      </c>
      <c r="G21" t="n">
        <v>70.42</v>
      </c>
      <c r="H21">
        <f>F21*G21</f>
        <v/>
      </c>
    </row>
    <row r="22">
      <c r="A22" t="inlineStr">
        <is>
          <t>MTR-99167</t>
        </is>
      </c>
      <c r="B22" t="inlineStr">
        <is>
          <t>Lune Rouge</t>
        </is>
      </c>
      <c r="C22" t="inlineStr">
        <is>
          <t>Lip Gloss Mirror</t>
        </is>
      </c>
      <c r="D22" t="inlineStr">
        <is>
          <t>Clear</t>
        </is>
      </c>
      <c r="E22" t="n">
        <v>12</v>
      </c>
      <c r="F22" t="n">
        <v>6</v>
      </c>
      <c r="G22" t="n">
        <v>7.98</v>
      </c>
      <c r="H22">
        <f>F22*E22*G22</f>
        <v/>
      </c>
    </row>
    <row r="23">
      <c r="A23" t="inlineStr">
        <is>
          <t>MTR-71918</t>
        </is>
      </c>
      <c r="B23" t="inlineStr">
        <is>
          <t>Atelier Noor</t>
        </is>
      </c>
      <c r="C23" t="inlineStr">
        <is>
          <t>Oud Saffron Eau de Parfum</t>
        </is>
      </c>
      <c r="D23" t="inlineStr">
        <is>
          <t>50 ml</t>
        </is>
      </c>
      <c r="E23" t="n">
        <v>6</v>
      </c>
      <c r="F23" t="n">
        <v>6</v>
      </c>
      <c r="G23" t="n">
        <v>80.51000000000001</v>
      </c>
      <c r="H23">
        <f>F23*E23*G23</f>
        <v/>
      </c>
    </row>
    <row r="24">
      <c r="A24" t="inlineStr">
        <is>
          <t>MTR-67983</t>
        </is>
      </c>
      <c r="B24" t="inlineStr">
        <is>
          <t>Solenne Paris</t>
        </is>
      </c>
      <c r="C24" t="inlineStr">
        <is>
          <t>Baume Nuit Night Balm</t>
        </is>
      </c>
      <c r="D24" t="inlineStr">
        <is>
          <t>50 ml</t>
        </is>
      </c>
      <c r="E24" t="n">
        <v>6</v>
      </c>
      <c r="F24" t="n">
        <v>6</v>
      </c>
      <c r="G24" t="n">
        <v>56.98</v>
      </c>
      <c r="H24">
        <f>F24*E24*G24</f>
        <v/>
      </c>
    </row>
    <row r="25">
      <c r="A25" t="inlineStr">
        <is>
          <t>MTR-66059</t>
        </is>
      </c>
      <c r="B25" t="inlineStr">
        <is>
          <t>Velour Cosmetics</t>
        </is>
      </c>
      <c r="C25" t="inlineStr">
        <is>
          <t>Velvet Matte Foundation 30 ml</t>
        </is>
      </c>
      <c r="D25" t="inlineStr">
        <is>
          <t>3W Golden</t>
        </is>
      </c>
      <c r="E25" t="n">
        <v>12</v>
      </c>
      <c r="F25" t="n">
        <v>1</v>
      </c>
      <c r="G25" t="n">
        <v>18.79</v>
      </c>
      <c r="H25">
        <f>F25*E25*G25</f>
        <v/>
      </c>
    </row>
    <row r="27">
      <c r="A27" t="inlineStr"/>
      <c r="B27" t="inlineStr"/>
      <c r="C27" s="3" t="inlineStr">
        <is>
          <t>TOTAL</t>
        </is>
      </c>
      <c r="D27" t="inlineStr"/>
      <c r="E27" t="inlineStr"/>
      <c r="F27">
        <f>SUM(F10:F24)</f>
        <v/>
      </c>
      <c r="G27" t="inlineStr"/>
      <c r="H27">
        <f>SUM(H10:H24)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
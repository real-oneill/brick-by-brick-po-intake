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B-T3" sheetId="1" state="visible" r:id="rId1"/>
    <sheet name="JFK-T4" sheetId="2" state="visible" r:id="rId2"/>
    <sheet name="CDG-2E" sheetId="3" state="visible" r:id="rId3"/>
    <sheet name="LHR-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MTR-DXB-26-4943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MTR-99173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145 Bordeaux</t>
        </is>
      </c>
      <c r="E10" t="n">
        <v>12</v>
      </c>
      <c r="F10" t="n">
        <v>1</v>
      </c>
      <c r="G10" t="n">
        <v>6.01</v>
      </c>
      <c r="H10">
        <f>F10*E10*G10</f>
        <v/>
      </c>
    </row>
    <row r="11">
      <c r="A11" t="inlineStr">
        <is>
          <t>MTR-50760</t>
        </is>
      </c>
      <c r="B11" t="inlineStr">
        <is>
          <t>Velour Cosmetics</t>
        </is>
      </c>
      <c r="C11" t="inlineStr">
        <is>
          <t>Brow Sculpt Pencil</t>
        </is>
      </c>
      <c r="D11" t="inlineStr">
        <is>
          <t>Soft Black</t>
        </is>
      </c>
      <c r="E11" t="n">
        <v>12</v>
      </c>
      <c r="F11" t="n">
        <v>2</v>
      </c>
      <c r="G11" t="n">
        <v>10.16</v>
      </c>
      <c r="H11">
        <f>F11*E11*G11</f>
        <v/>
      </c>
    </row>
    <row r="12">
      <c r="A12" t="inlineStr">
        <is>
          <t>MTR-70150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30 Fuchsia</t>
        </is>
      </c>
      <c r="E12" t="n">
        <v>12</v>
      </c>
      <c r="F12" t="n">
        <v>4</v>
      </c>
      <c r="G12" t="n">
        <v>12.51</v>
      </c>
      <c r="H12">
        <f>F12*E12*G12</f>
        <v/>
      </c>
    </row>
    <row r="13">
      <c r="A13" t="inlineStr">
        <is>
          <t>MTR-66059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3W Golden</t>
        </is>
      </c>
      <c r="E13" t="n">
        <v>12</v>
      </c>
      <c r="F13" t="n">
        <v>2</v>
      </c>
      <c r="G13" t="n">
        <v>18.79</v>
      </c>
      <c r="H13">
        <f>F13*E13*G13</f>
        <v/>
      </c>
    </row>
    <row r="14">
      <c r="A14" t="inlineStr">
        <is>
          <t>MTR-38947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110 Ballet</t>
        </is>
      </c>
      <c r="E14" t="n">
        <v>12</v>
      </c>
      <c r="F14" t="n">
        <v>1</v>
      </c>
      <c r="G14" t="n">
        <v>5.85</v>
      </c>
      <c r="H14">
        <f>F14*E14*G14</f>
        <v/>
      </c>
    </row>
    <row r="15">
      <c r="A15" t="inlineStr">
        <is>
          <t>MTR-47941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01 Nude Silk</t>
        </is>
      </c>
      <c r="E15" t="n">
        <v>12</v>
      </c>
      <c r="F15" t="n">
        <v>1</v>
      </c>
      <c r="G15" t="n">
        <v>11.77</v>
      </c>
      <c r="H15">
        <f>F15*E15*G15</f>
        <v/>
      </c>
    </row>
    <row r="16">
      <c r="A16" t="inlineStr">
        <is>
          <t>MTR-36143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50 ml</t>
        </is>
      </c>
      <c r="E16" t="n">
        <v>6</v>
      </c>
      <c r="F16" t="n">
        <v>6</v>
      </c>
      <c r="G16" t="n">
        <v>51.04</v>
      </c>
      <c r="H16">
        <f>F16*E16*G16</f>
        <v/>
      </c>
    </row>
    <row r="17">
      <c r="A17" t="inlineStr">
        <is>
          <t>MTR-40518</t>
        </is>
      </c>
      <c r="B17" t="inlineStr">
        <is>
          <t>Solenne Paris</t>
        </is>
      </c>
      <c r="C17" t="inlineStr">
        <is>
          <t>Lotion Essentielle Toner</t>
        </is>
      </c>
      <c r="D17" t="inlineStr">
        <is>
          <t>250 ml</t>
        </is>
      </c>
      <c r="E17" t="n">
        <v>6</v>
      </c>
      <c r="F17" t="n">
        <v>2</v>
      </c>
      <c r="G17" t="n">
        <v>65.72</v>
      </c>
      <c r="H17">
        <f>F17*E17*G17</f>
        <v/>
      </c>
    </row>
    <row r="18">
      <c r="A18" t="inlineStr">
        <is>
          <t>MTR-38627</t>
        </is>
      </c>
      <c r="B18" t="inlineStr">
        <is>
          <t>Lune Rouge</t>
        </is>
      </c>
      <c r="C18" t="inlineStr">
        <is>
          <t>Lacquer Nail Colour</t>
        </is>
      </c>
      <c r="D18" t="inlineStr">
        <is>
          <t>140 Gunmetal</t>
        </is>
      </c>
      <c r="E18" t="n">
        <v>12</v>
      </c>
      <c r="F18" t="n">
        <v>6</v>
      </c>
      <c r="G18" t="n">
        <v>6.13</v>
      </c>
      <c r="H18">
        <f>F18*E18*G18</f>
        <v/>
      </c>
    </row>
    <row r="19" hidden="1">
      <c r="A19" t="inlineStr">
        <is>
          <t>MTR-24707</t>
        </is>
      </c>
      <c r="B19" t="inlineStr">
        <is>
          <t>Lune Rouge</t>
        </is>
      </c>
      <c r="C19" t="inlineStr">
        <is>
          <t>Lash Lift Mascara</t>
        </is>
      </c>
      <c r="D19" t="inlineStr">
        <is>
          <t>Black</t>
        </is>
      </c>
      <c r="E19" t="n">
        <v>12</v>
      </c>
      <c r="F19" t="n">
        <v>1</v>
      </c>
      <c r="G19" t="n">
        <v>9.76</v>
      </c>
      <c r="H19">
        <f>F19*E19*G19</f>
        <v/>
      </c>
    </row>
    <row r="21">
      <c r="A21" t="inlineStr">
        <is>
          <t>MTR-20237</t>
        </is>
      </c>
      <c r="B21" t="inlineStr">
        <is>
          <t>Lune Rouge</t>
        </is>
      </c>
      <c r="C21" t="inlineStr">
        <is>
          <t>Precision Liquid Eyeliner</t>
        </is>
      </c>
      <c r="D21" t="inlineStr">
        <is>
          <t>Navy</t>
        </is>
      </c>
      <c r="E21" t="n">
        <v>12</v>
      </c>
      <c r="F21" t="n">
        <v>2</v>
      </c>
      <c r="G21" t="n">
        <v>8.869999999999999</v>
      </c>
      <c r="H21">
        <f>F21*E21*G21</f>
        <v/>
      </c>
    </row>
    <row r="23">
      <c r="A23" t="inlineStr"/>
      <c r="B23" t="inlineStr"/>
      <c r="C23" s="3" t="inlineStr">
        <is>
          <t>TOTAL</t>
        </is>
      </c>
      <c r="D23" t="inlineStr"/>
      <c r="E23" t="inlineStr"/>
      <c r="F23">
        <f>SUM(F10:F20)</f>
        <v/>
      </c>
      <c r="G23" t="inlineStr"/>
      <c r="H23">
        <f>SUM(H10:H20)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MTR-JFK-26-7492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24-Oct-2026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MTR-85166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30 ml</t>
        </is>
      </c>
      <c r="E10" t="n">
        <v>6</v>
      </c>
      <c r="F10" t="n">
        <v>1</v>
      </c>
      <c r="G10" t="n">
        <v>38.55</v>
      </c>
      <c r="H10">
        <f>F10*E10*G10</f>
        <v/>
      </c>
    </row>
    <row r="11">
      <c r="A11" t="inlineStr">
        <is>
          <t>MTR-20730</t>
        </is>
      </c>
      <c r="B11" t="inlineStr">
        <is>
          <t>Lune Rouge</t>
        </is>
      </c>
      <c r="C11" t="inlineStr">
        <is>
          <t>Precision Liquid Eyeliner</t>
        </is>
      </c>
      <c r="D11" t="inlineStr">
        <is>
          <t>Black</t>
        </is>
      </c>
      <c r="E11" t="n">
        <v>12</v>
      </c>
      <c r="F11" t="n">
        <v>4</v>
      </c>
      <c r="G11" t="n">
        <v>7.85</v>
      </c>
      <c r="H11">
        <f>F11*E11*G11</f>
        <v/>
      </c>
    </row>
    <row r="12">
      <c r="A12" t="inlineStr">
        <is>
          <t>MTR-54185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1W Ivory</t>
        </is>
      </c>
      <c r="E12" t="n">
        <v>12</v>
      </c>
      <c r="F12" t="n">
        <v>2</v>
      </c>
      <c r="G12" t="n">
        <v>15.72</v>
      </c>
      <c r="H12">
        <f>F12*E12*G12</f>
        <v/>
      </c>
    </row>
    <row r="13">
      <c r="A13" t="inlineStr">
        <is>
          <t>MTR-32946</t>
        </is>
      </c>
      <c r="B13" t="inlineStr">
        <is>
          <t>Atelier Noor</t>
        </is>
      </c>
      <c r="C13" t="inlineStr">
        <is>
          <t>Musc Blanc Eau de Parfum</t>
        </is>
      </c>
      <c r="D13" t="inlineStr">
        <is>
          <t>100 ml</t>
        </is>
      </c>
      <c r="E13" t="n">
        <v>6</v>
      </c>
      <c r="F13" t="n">
        <v>4</v>
      </c>
      <c r="G13" t="n">
        <v>78.68000000000001</v>
      </c>
      <c r="H13">
        <f>F13*E13*G13</f>
        <v/>
      </c>
    </row>
    <row r="14">
      <c r="A14" t="inlineStr">
        <is>
          <t>MTR-86917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50 ml</t>
        </is>
      </c>
      <c r="E14" t="n">
        <v>6</v>
      </c>
      <c r="F14" t="n">
        <v>1</v>
      </c>
      <c r="G14" t="n">
        <v>39.24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MTR-CDG-26-2490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MTR-80592</t>
        </is>
      </c>
      <c r="B10" t="inlineStr">
        <is>
          <t>Solenne Paris</t>
        </is>
      </c>
      <c r="C10" t="inlineStr">
        <is>
          <t>Eau Micellaire Cleansing Water</t>
        </is>
      </c>
      <c r="D10" t="inlineStr">
        <is>
          <t>400 ml</t>
        </is>
      </c>
      <c r="E10" t="n">
        <v>6</v>
      </c>
      <c r="F10" t="n">
        <v>6</v>
      </c>
      <c r="G10" t="n">
        <v>51.04</v>
      </c>
      <c r="H10">
        <f>F10*E10*G10</f>
        <v/>
      </c>
    </row>
    <row r="11">
      <c r="A11" t="inlineStr">
        <is>
          <t>MTR-71004</t>
        </is>
      </c>
      <c r="B11" t="inlineStr"/>
      <c r="C11" t="inlineStr">
        <is>
          <t>Mini Lip Trio Gift</t>
        </is>
      </c>
      <c r="D11" t="inlineStr"/>
      <c r="E11" t="inlineStr"/>
      <c r="F11" t="n">
        <v>2</v>
      </c>
      <c r="G11" t="n">
        <v>18.13</v>
      </c>
      <c r="H11">
        <f>F11*G11</f>
        <v/>
      </c>
    </row>
    <row r="12">
      <c r="A12" t="inlineStr">
        <is>
          <t>MTR-21368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4N Honey</t>
        </is>
      </c>
      <c r="E12" t="n">
        <v>12</v>
      </c>
      <c r="F12" t="n">
        <v>2</v>
      </c>
      <c r="G12" t="n">
        <v>15.75</v>
      </c>
      <c r="H12">
        <f>F12*E12*G12</f>
        <v/>
      </c>
    </row>
    <row r="13">
      <c r="A13" t="inlineStr">
        <is>
          <t>MTR-36497</t>
        </is>
      </c>
      <c r="B13" t="inlineStr">
        <is>
          <t>Lune Rouge</t>
        </is>
      </c>
      <c r="C13" t="inlineStr">
        <is>
          <t>Glow Highlighter</t>
        </is>
      </c>
      <c r="D13" t="inlineStr">
        <is>
          <t>Moonstone</t>
        </is>
      </c>
      <c r="E13" t="n">
        <v>12</v>
      </c>
      <c r="F13" t="n">
        <v>3</v>
      </c>
      <c r="G13" t="n">
        <v>8.81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MTR-LHR-26-6748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MTR-61712</t>
        </is>
      </c>
      <c r="B10" t="inlineStr">
        <is>
          <t>Solenne Paris</t>
        </is>
      </c>
      <c r="C10" t="inlineStr">
        <is>
          <t>Crème Lumière Day Cream</t>
        </is>
      </c>
      <c r="D10" t="inlineStr">
        <is>
          <t>15 ml</t>
        </is>
      </c>
      <c r="E10" t="n">
        <v>6</v>
      </c>
      <c r="F10" t="n">
        <v>6</v>
      </c>
      <c r="G10" t="n">
        <v>26.02</v>
      </c>
      <c r="H10">
        <f>F10*E10*G10</f>
        <v/>
      </c>
    </row>
    <row r="11">
      <c r="A11" t="inlineStr">
        <is>
          <t>MTR-79604</t>
        </is>
      </c>
      <c r="B11" t="inlineStr">
        <is>
          <t>Solenne Paris</t>
        </is>
      </c>
      <c r="C11" t="inlineStr">
        <is>
          <t>Lotion Essentielle Toner</t>
        </is>
      </c>
      <c r="D11" t="inlineStr">
        <is>
          <t>150 ml</t>
        </is>
      </c>
      <c r="E11" t="n">
        <v>6</v>
      </c>
      <c r="F11" t="n">
        <v>1</v>
      </c>
      <c r="G11" t="n">
        <v>45.25</v>
      </c>
      <c r="H11">
        <f>F11*E11*G11</f>
        <v/>
      </c>
    </row>
    <row r="12">
      <c r="A12" t="inlineStr">
        <is>
          <t>MTR-28430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5N Amber</t>
        </is>
      </c>
      <c r="E12" t="n">
        <v>12</v>
      </c>
      <c r="F12" t="n">
        <v>6</v>
      </c>
      <c r="G12" t="n">
        <v>17.14</v>
      </c>
      <c r="H12">
        <f>F12*E12*G12</f>
        <v/>
      </c>
    </row>
    <row r="13">
      <c r="A13" t="inlineStr">
        <is>
          <t>MTR-47649</t>
        </is>
      </c>
      <c r="B13" t="inlineStr">
        <is>
          <t>Atelier Noor</t>
        </is>
      </c>
      <c r="C13" t="inlineStr">
        <is>
          <t>Vétiver Nocturne Eau de Toilette</t>
        </is>
      </c>
      <c r="D13" t="inlineStr">
        <is>
          <t>100 ml</t>
        </is>
      </c>
      <c r="E13" t="n">
        <v>6</v>
      </c>
      <c r="F13" t="n">
        <v>4</v>
      </c>
      <c r="G13" t="n">
        <v>87.52</v>
      </c>
      <c r="H13">
        <f>F13*E13*G13</f>
        <v/>
      </c>
    </row>
    <row r="14">
      <c r="A14" t="inlineStr">
        <is>
          <t>MTR-60275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6N Espresso</t>
        </is>
      </c>
      <c r="E14" t="n">
        <v>12</v>
      </c>
      <c r="F14" t="n">
        <v>1</v>
      </c>
      <c r="G14" t="n">
        <v>16.76</v>
      </c>
      <c r="H14">
        <f>F14*E14*G14</f>
        <v/>
      </c>
    </row>
    <row r="15">
      <c r="A15" t="inlineStr">
        <is>
          <t>MTR-64172</t>
        </is>
      </c>
      <c r="B15" t="inlineStr">
        <is>
          <t>Atelier Noor</t>
        </is>
      </c>
      <c r="C15" t="inlineStr">
        <is>
          <t>Oud Saffron Eau de Parfum</t>
        </is>
      </c>
      <c r="D15" t="inlineStr">
        <is>
          <t>30 ml</t>
        </is>
      </c>
      <c r="E15" t="n">
        <v>12</v>
      </c>
      <c r="F15" t="n">
        <v>6</v>
      </c>
      <c r="G15" t="n">
        <v>59.38</v>
      </c>
      <c r="H15">
        <f>F15*E15*G15</f>
        <v/>
      </c>
    </row>
    <row r="16">
      <c r="A16" t="inlineStr">
        <is>
          <t>MTR-50553</t>
        </is>
      </c>
      <c r="B16" t="inlineStr"/>
      <c r="C16" t="inlineStr">
        <is>
          <t>Travel Exclusive Duo Set</t>
        </is>
      </c>
      <c r="D16" t="inlineStr"/>
      <c r="E16" t="inlineStr"/>
      <c r="F16" t="n">
        <v>1</v>
      </c>
      <c r="G16" t="n">
        <v>60.29</v>
      </c>
      <c r="H16">
        <f>F16*G16</f>
        <v/>
      </c>
    </row>
    <row r="17">
      <c r="A17" t="inlineStr">
        <is>
          <t>MTR-72793</t>
        </is>
      </c>
      <c r="B17" t="inlineStr">
        <is>
          <t>Solenne Paris</t>
        </is>
      </c>
      <c r="C17" t="inlineStr">
        <is>
          <t>Eau Micellaire Cleansing Water</t>
        </is>
      </c>
      <c r="D17" t="inlineStr">
        <is>
          <t>200 ml</t>
        </is>
      </c>
      <c r="E17" t="n">
        <v>6</v>
      </c>
      <c r="F17" t="n">
        <v>2</v>
      </c>
      <c r="G17" t="n">
        <v>43.44</v>
      </c>
      <c r="H17">
        <f>F17*E17*G17</f>
        <v/>
      </c>
    </row>
    <row r="18">
      <c r="A18" t="inlineStr">
        <is>
          <t>MTR-29198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30 ml</t>
        </is>
      </c>
      <c r="E18" t="n">
        <v>6</v>
      </c>
      <c r="F18" t="n">
        <v>1</v>
      </c>
      <c r="G18" t="n">
        <v>38.84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
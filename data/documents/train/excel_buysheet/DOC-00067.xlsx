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DG-2E" sheetId="1" state="visible" r:id="rId1"/>
    <sheet name="SIN-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6" customWidth="1" min="3" max="3"/>
    <col width="16" customWidth="1" min="4" max="4"/>
    <col width="10" customWidth="1" min="5" max="5"/>
    <col width="8" customWidth="1" min="6" max="6"/>
    <col width="11" customWidth="1" min="7" max="7"/>
    <col width="12" customWidth="1" min="8" max="8"/>
  </cols>
  <sheetData>
    <row r="1">
      <c r="A1" s="1" t="inlineStr">
        <is>
          <t>MERIDIAN TRAVEL RETAIL - BUYSHEET</t>
        </is>
      </c>
    </row>
    <row r="2">
      <c r="A2" t="inlineStr">
        <is>
          <t>Season</t>
        </is>
      </c>
      <c r="B2" t="inlineStr">
        <is>
          <t>Q4 2026 Holiday</t>
        </is>
      </c>
    </row>
    <row r="3">
      <c r="A3" t="inlineStr">
        <is>
          <t>Store</t>
        </is>
      </c>
      <c r="B3" t="inlineStr">
        <is>
          <t>CDG-2E  Paris CDG Terminal 2E</t>
        </is>
      </c>
    </row>
    <row r="4">
      <c r="A4" t="inlineStr">
        <is>
          <t>PO No</t>
        </is>
      </c>
      <c r="B4" t="inlineStr">
        <is>
          <t>MTR-CDG-26-7275</t>
        </is>
      </c>
    </row>
    <row r="5">
      <c r="A5" t="inlineStr">
        <is>
          <t>Currency</t>
        </is>
      </c>
      <c r="B5" t="inlineStr">
        <is>
          <t>EUR</t>
        </is>
      </c>
    </row>
    <row r="6">
      <c r="A6" t="inlineStr">
        <is>
          <t>Delivery</t>
        </is>
      </c>
      <c r="B6" t="inlineStr">
        <is>
          <t>15-Oct-2026</t>
        </is>
      </c>
    </row>
    <row r="7">
      <c r="A7" t="inlineStr">
        <is>
          <t>Supplier</t>
        </is>
      </c>
      <c r="B7" t="inlineStr">
        <is>
          <t>Maison Solenne</t>
        </is>
      </c>
    </row>
    <row r="9">
      <c r="A9" s="2" t="inlineStr">
        <is>
          <t>MTR Code</t>
        </is>
      </c>
      <c r="B9" s="2" t="inlineStr">
        <is>
          <t>Brand</t>
        </is>
      </c>
      <c r="C9" s="2" t="inlineStr">
        <is>
          <t>Description</t>
        </is>
      </c>
      <c r="D9" s="2" t="inlineStr">
        <is>
          <t>Size/Shade</t>
        </is>
      </c>
      <c r="E9" s="2" t="inlineStr">
        <is>
          <t>Case Pack</t>
        </is>
      </c>
      <c r="F9" s="2" t="inlineStr">
        <is>
          <t>Cases</t>
        </is>
      </c>
      <c r="G9" s="2" t="inlineStr">
        <is>
          <t>Unit Cost</t>
        </is>
      </c>
      <c r="H9" s="2" t="inlineStr">
        <is>
          <t>Total</t>
        </is>
      </c>
    </row>
    <row r="10">
      <c r="A10" t="inlineStr">
        <is>
          <t>MTR-20237</t>
        </is>
      </c>
      <c r="B10" t="inlineStr">
        <is>
          <t>Lune Rouge</t>
        </is>
      </c>
      <c r="C10" t="inlineStr">
        <is>
          <t>Precision Liquid Eyeliner</t>
        </is>
      </c>
      <c r="D10" t="inlineStr">
        <is>
          <t>Navy</t>
        </is>
      </c>
      <c r="E10" t="n">
        <v>12</v>
      </c>
      <c r="F10" t="n">
        <v>3</v>
      </c>
      <c r="G10" t="n">
        <v>8.029999999999999</v>
      </c>
      <c r="H10">
        <f>F10*E10*G10</f>
        <v/>
      </c>
    </row>
    <row r="11">
      <c r="A11" t="inlineStr">
        <is>
          <t>MTR-89271</t>
        </is>
      </c>
      <c r="B11" t="inlineStr"/>
      <c r="C11" t="inlineStr">
        <is>
          <t>Crema Mani Rosa</t>
        </is>
      </c>
      <c r="D11" t="inlineStr"/>
      <c r="E11" t="inlineStr"/>
      <c r="F11" t="n">
        <v>1</v>
      </c>
      <c r="G11" t="n">
        <v>32.59</v>
      </c>
      <c r="H11">
        <f>F11*G11</f>
        <v/>
      </c>
    </row>
    <row r="12">
      <c r="A12" t="inlineStr">
        <is>
          <t>MTR-30934</t>
        </is>
      </c>
      <c r="B12" t="inlineStr">
        <is>
          <t>Velour Cosmetics</t>
        </is>
      </c>
      <c r="C12" t="inlineStr">
        <is>
          <t>Brow Sculpt Pencil</t>
        </is>
      </c>
      <c r="D12" t="inlineStr">
        <is>
          <t>Taupe</t>
        </is>
      </c>
      <c r="E12" t="n">
        <v>12</v>
      </c>
      <c r="F12" t="n">
        <v>3</v>
      </c>
      <c r="G12" t="n">
        <v>8.65</v>
      </c>
      <c r="H12">
        <f>F12*E12*G12</f>
        <v/>
      </c>
    </row>
    <row r="13">
      <c r="A13" t="inlineStr">
        <is>
          <t>MTR-71344</t>
        </is>
      </c>
      <c r="B13" t="inlineStr">
        <is>
          <t>Velour Cosmetics</t>
        </is>
      </c>
      <c r="C13" t="inlineStr">
        <is>
          <t>Satin Lip Colour</t>
        </is>
      </c>
      <c r="D13" t="inlineStr">
        <is>
          <t>22 Corail</t>
        </is>
      </c>
      <c r="E13" t="n">
        <v>12</v>
      </c>
      <c r="F13" t="n">
        <v>3</v>
      </c>
      <c r="G13" t="n">
        <v>10.87</v>
      </c>
      <c r="H13">
        <f>F13*E13*G13</f>
        <v/>
      </c>
    </row>
    <row r="14">
      <c r="A14" t="inlineStr">
        <is>
          <t>MTR-70150</t>
        </is>
      </c>
      <c r="B14" t="inlineStr">
        <is>
          <t>Velour Cosmetics</t>
        </is>
      </c>
      <c r="C14" t="inlineStr">
        <is>
          <t>Satin Lip Colour</t>
        </is>
      </c>
      <c r="D14" t="inlineStr">
        <is>
          <t>30 Fuchsia</t>
        </is>
      </c>
      <c r="E14" t="n">
        <v>12</v>
      </c>
      <c r="F14" t="n">
        <v>3</v>
      </c>
      <c r="G14" t="n">
        <v>11.74</v>
      </c>
      <c r="H14">
        <f>F14*E14*G14</f>
        <v/>
      </c>
    </row>
    <row r="16">
      <c r="A16" t="inlineStr"/>
      <c r="B16" t="inlineStr"/>
      <c r="C16" s="3" t="inlineStr">
        <is>
          <t>TOTAL</t>
        </is>
      </c>
      <c r="D16" t="inlineStr"/>
      <c r="E16" t="inlineStr"/>
      <c r="F16">
        <f>SUM(F10:F13)</f>
        <v/>
      </c>
      <c r="G16" t="inlineStr"/>
      <c r="H16">
        <f>SUM(H10:H13)</f>
        <v/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6" customWidth="1" min="3" max="3"/>
    <col width="16" customWidth="1" min="4" max="4"/>
    <col width="10" customWidth="1" min="5" max="5"/>
    <col width="8" customWidth="1" min="6" max="6"/>
    <col width="11" customWidth="1" min="7" max="7"/>
    <col width="12" customWidth="1" min="8" max="8"/>
  </cols>
  <sheetData>
    <row r="1">
      <c r="A1" s="1" t="inlineStr">
        <is>
          <t>MERIDIAN TRAVEL RETAIL - BUYSHEET</t>
        </is>
      </c>
    </row>
    <row r="2">
      <c r="A2" t="inlineStr">
        <is>
          <t>Season</t>
        </is>
      </c>
      <c r="B2" t="inlineStr">
        <is>
          <t>Q4 2026 Holiday</t>
        </is>
      </c>
    </row>
    <row r="3">
      <c r="A3" t="inlineStr">
        <is>
          <t>Store</t>
        </is>
      </c>
      <c r="B3" t="inlineStr">
        <is>
          <t>SIN-T1  Singapore Changi T1</t>
        </is>
      </c>
    </row>
    <row r="4">
      <c r="A4" t="inlineStr">
        <is>
          <t>PO No</t>
        </is>
      </c>
      <c r="B4" t="inlineStr">
        <is>
          <t>MTR-SIN-26-4859</t>
        </is>
      </c>
    </row>
    <row r="5">
      <c r="A5" t="inlineStr">
        <is>
          <t>Currency</t>
        </is>
      </c>
      <c r="B5" t="inlineStr">
        <is>
          <t>USD</t>
        </is>
      </c>
    </row>
    <row r="6">
      <c r="A6" t="inlineStr">
        <is>
          <t>Delivery</t>
        </is>
      </c>
      <c r="B6" t="inlineStr">
        <is>
          <t>13-Oct-2026</t>
        </is>
      </c>
    </row>
    <row r="7">
      <c r="A7" t="inlineStr">
        <is>
          <t>Supplier</t>
        </is>
      </c>
      <c r="B7" t="inlineStr">
        <is>
          <t>Maison Solenne</t>
        </is>
      </c>
    </row>
    <row r="9">
      <c r="A9" s="2" t="inlineStr">
        <is>
          <t>MTR Code</t>
        </is>
      </c>
      <c r="B9" s="2" t="inlineStr">
        <is>
          <t>Brand</t>
        </is>
      </c>
      <c r="C9" s="2" t="inlineStr">
        <is>
          <t>Description</t>
        </is>
      </c>
      <c r="D9" s="2" t="inlineStr">
        <is>
          <t>Size/Shade</t>
        </is>
      </c>
      <c r="E9" s="2" t="inlineStr">
        <is>
          <t>Case Pack</t>
        </is>
      </c>
      <c r="F9" s="2" t="inlineStr">
        <is>
          <t>Cases</t>
        </is>
      </c>
      <c r="G9" s="2" t="inlineStr">
        <is>
          <t>Unit Cost</t>
        </is>
      </c>
      <c r="H9" s="2" t="inlineStr">
        <is>
          <t>Total</t>
        </is>
      </c>
    </row>
    <row r="10" hidden="1">
      <c r="A10" t="inlineStr">
        <is>
          <t>MTR-11214</t>
        </is>
      </c>
      <c r="B10" t="inlineStr">
        <is>
          <t>Velour Cosmetics</t>
        </is>
      </c>
      <c r="C10" t="inlineStr">
        <is>
          <t>Satin Lip Colour</t>
        </is>
      </c>
      <c r="D10" t="inlineStr">
        <is>
          <t>03 Petal</t>
        </is>
      </c>
      <c r="E10" t="n">
        <v>12</v>
      </c>
      <c r="F10" t="n">
        <v>1</v>
      </c>
      <c r="G10" t="n">
        <v>12</v>
      </c>
      <c r="H10">
        <f>F10*E10*G10</f>
        <v/>
      </c>
    </row>
    <row r="12">
      <c r="A12" t="inlineStr">
        <is>
          <t>MTR-81989</t>
        </is>
      </c>
      <c r="B12" t="inlineStr">
        <is>
          <t>Lune Rouge</t>
        </is>
      </c>
      <c r="C12" t="inlineStr">
        <is>
          <t>Lacquer Nail Colour</t>
        </is>
      </c>
      <c r="D12" t="inlineStr">
        <is>
          <t>130 Coral Reef</t>
        </is>
      </c>
      <c r="E12" t="n">
        <v>12</v>
      </c>
      <c r="F12" t="n">
        <v>1</v>
      </c>
      <c r="G12" t="n">
        <v>5.92</v>
      </c>
      <c r="H12">
        <f>F12*E12*G12</f>
        <v/>
      </c>
    </row>
    <row r="13">
      <c r="A13" t="inlineStr">
        <is>
          <t>MTR-27507</t>
        </is>
      </c>
      <c r="B13" t="inlineStr">
        <is>
          <t>Lune Rouge</t>
        </is>
      </c>
      <c r="C13" t="inlineStr">
        <is>
          <t>Lacquer Nail Colour</t>
        </is>
      </c>
      <c r="D13" t="inlineStr">
        <is>
          <t>115 Sable</t>
        </is>
      </c>
      <c r="E13" t="n">
        <v>12</v>
      </c>
      <c r="F13" t="n">
        <v>4</v>
      </c>
      <c r="G13" t="n">
        <v>5.7</v>
      </c>
      <c r="H13">
        <f>F13*E13*G13</f>
        <v/>
      </c>
    </row>
    <row r="14">
      <c r="A14" t="inlineStr">
        <is>
          <t>MTR-44995</t>
        </is>
      </c>
      <c r="B14" t="inlineStr">
        <is>
          <t>Velour Cosmetics</t>
        </is>
      </c>
      <c r="C14" t="inlineStr">
        <is>
          <t>Velvet Matte Foundation 30 ml</t>
        </is>
      </c>
      <c r="D14" t="inlineStr">
        <is>
          <t>7N Ebony</t>
        </is>
      </c>
      <c r="E14" t="n">
        <v>12</v>
      </c>
      <c r="F14" t="n">
        <v>4</v>
      </c>
      <c r="G14" t="n">
        <v>18.54</v>
      </c>
      <c r="H14">
        <f>F14*E14*G14</f>
        <v/>
      </c>
    </row>
    <row r="15">
      <c r="A15" t="inlineStr">
        <is>
          <t>MTR-48671</t>
        </is>
      </c>
      <c r="B15" t="inlineStr">
        <is>
          <t>Lune Rouge</t>
        </is>
      </c>
      <c r="C15" t="inlineStr">
        <is>
          <t>Lacquer Nail Colour</t>
        </is>
      </c>
      <c r="D15" t="inlineStr">
        <is>
          <t>104 Cherry Gloss</t>
        </is>
      </c>
      <c r="E15" t="n">
        <v>12</v>
      </c>
      <c r="F15" t="n">
        <v>1</v>
      </c>
      <c r="G15" t="n">
        <v>5.75</v>
      </c>
      <c r="H15">
        <f>F15*E15*G15</f>
        <v/>
      </c>
    </row>
    <row r="16">
      <c r="A16" t="inlineStr">
        <is>
          <t>MTR-81781</t>
        </is>
      </c>
      <c r="B16" t="inlineStr">
        <is>
          <t>Lune Rouge</t>
        </is>
      </c>
      <c r="C16" t="inlineStr">
        <is>
          <t>Lash Lift Mascara</t>
        </is>
      </c>
      <c r="D16" t="inlineStr">
        <is>
          <t>Brown Black</t>
        </is>
      </c>
      <c r="E16" t="n">
        <v>12</v>
      </c>
      <c r="F16" t="n">
        <v>2</v>
      </c>
      <c r="G16" t="n">
        <v>10.16</v>
      </c>
      <c r="H16">
        <f>F16*E16*G16</f>
        <v/>
      </c>
    </row>
    <row r="17">
      <c r="A17" t="inlineStr">
        <is>
          <t>MTR-79228</t>
        </is>
      </c>
      <c r="B17" t="inlineStr">
        <is>
          <t>Lune Rouge</t>
        </is>
      </c>
      <c r="C17" t="inlineStr">
        <is>
          <t>Precision Liquid Eyeliner</t>
        </is>
      </c>
      <c r="D17" t="inlineStr">
        <is>
          <t>Brown</t>
        </is>
      </c>
      <c r="E17" t="n">
        <v>12</v>
      </c>
      <c r="F17" t="n">
        <v>1</v>
      </c>
      <c r="G17" t="n">
        <v>9.380000000000001</v>
      </c>
      <c r="H17">
        <f>F17*E17*G17</f>
        <v/>
      </c>
    </row>
    <row r="18">
      <c r="A18" t="inlineStr">
        <is>
          <t>MTR-22502</t>
        </is>
      </c>
      <c r="B18" t="inlineStr">
        <is>
          <t>Velour Cosmetics</t>
        </is>
      </c>
      <c r="C18" t="inlineStr">
        <is>
          <t>Velvet Matte Foundation 30 ml</t>
        </is>
      </c>
      <c r="D18" t="inlineStr">
        <is>
          <t>4W Caramel</t>
        </is>
      </c>
      <c r="E18" t="n">
        <v>12</v>
      </c>
      <c r="F18" t="n">
        <v>4</v>
      </c>
      <c r="G18" t="n">
        <v>17.75</v>
      </c>
      <c r="H18">
        <f>F18*E18*G18</f>
        <v/>
      </c>
    </row>
    <row r="19">
      <c r="A19" t="inlineStr">
        <is>
          <t>MTR-85166</t>
        </is>
      </c>
      <c r="B19" t="inlineStr">
        <is>
          <t>Solenne Paris</t>
        </is>
      </c>
      <c r="C19" t="inlineStr">
        <is>
          <t>Sérum Absolu Regenerating Serum</t>
        </is>
      </c>
      <c r="D19" t="inlineStr">
        <is>
          <t>30 ml</t>
        </is>
      </c>
      <c r="E19" t="n">
        <v>6</v>
      </c>
      <c r="F19" t="n">
        <v>2</v>
      </c>
      <c r="G19" t="n">
        <v>42.51</v>
      </c>
      <c r="H19">
        <f>F19*E19*G19</f>
        <v/>
      </c>
    </row>
    <row r="20">
      <c r="A20" t="inlineStr">
        <is>
          <t>MTR-99167</t>
        </is>
      </c>
      <c r="B20" t="inlineStr">
        <is>
          <t>Lune Rouge</t>
        </is>
      </c>
      <c r="C20" t="inlineStr">
        <is>
          <t>Lip Gloss Mirror</t>
        </is>
      </c>
      <c r="D20" t="inlineStr">
        <is>
          <t>Clear</t>
        </is>
      </c>
      <c r="E20" t="n">
        <v>12</v>
      </c>
      <c r="F20" t="n">
        <v>3</v>
      </c>
      <c r="G20" t="n">
        <v>7.98</v>
      </c>
      <c r="H20">
        <f>F20*E20*G20</f>
        <v/>
      </c>
    </row>
    <row r="21">
      <c r="A21" t="inlineStr">
        <is>
          <t>MTR-75866</t>
        </is>
      </c>
      <c r="B21" t="inlineStr">
        <is>
          <t>Velour Cosmetics</t>
        </is>
      </c>
      <c r="C21" t="inlineStr">
        <is>
          <t>Brow Sculpt Pencil</t>
        </is>
      </c>
      <c r="D21" t="inlineStr">
        <is>
          <t>Brunette</t>
        </is>
      </c>
      <c r="E21" t="n">
        <v>12</v>
      </c>
      <c r="F21" t="n">
        <v>1</v>
      </c>
      <c r="G21" t="n">
        <v>9.039999999999999</v>
      </c>
      <c r="H21">
        <f>F21*E21*G21</f>
        <v/>
      </c>
    </row>
    <row r="23">
      <c r="A23" t="inlineStr"/>
      <c r="B23" t="inlineStr"/>
      <c r="C23" s="3" t="inlineStr">
        <is>
          <t>TOTAL</t>
        </is>
      </c>
      <c r="D23" t="inlineStr"/>
      <c r="E23" t="inlineStr"/>
      <c r="F23">
        <f>SUM(F10:F20)</f>
        <v/>
      </c>
      <c r="G23" t="inlineStr"/>
      <c r="H23">
        <f>SUM(H10:H20)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2026-10-01T15:58:16Z</dcterms:created>
  <dcterms:modified xsi:type="dcterms:W3CDTF">2026-10-01T15:58:16Z</dcterms:modified>
</cp:coreProperties>
</file>
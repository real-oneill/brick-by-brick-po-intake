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CDG-2E" sheetId="2" state="visible" r:id="rId2"/>
    <sheet name="DXB-T3" sheetId="3" state="visible" r:id="rId3"/>
    <sheet name="SIN-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MTR-JFK-26-1304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MTR-56398</t>
        </is>
      </c>
      <c r="B10" t="inlineStr"/>
      <c r="C10" t="inlineStr">
        <is>
          <t>Mini Lip Trio Gift</t>
        </is>
      </c>
      <c r="D10" t="inlineStr"/>
      <c r="E10" t="inlineStr"/>
      <c r="F10" t="n">
        <v>2</v>
      </c>
      <c r="G10" t="n">
        <v>32.05</v>
      </c>
      <c r="H10">
        <f>F10*G10</f>
        <v/>
      </c>
    </row>
    <row r="11">
      <c r="A11" t="inlineStr">
        <is>
          <t>MTR-25495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Blonde</t>
        </is>
      </c>
      <c r="E11" t="n">
        <v>12</v>
      </c>
      <c r="F11" t="n">
        <v>1</v>
      </c>
      <c r="G11" t="n">
        <v>9.880000000000001</v>
      </c>
      <c r="H11">
        <f>F11*E11*G11</f>
        <v/>
      </c>
    </row>
    <row r="12">
      <c r="A12" t="inlineStr">
        <is>
          <t>MTR-28430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5N Amber</t>
        </is>
      </c>
      <c r="E12" t="n">
        <v>12</v>
      </c>
      <c r="F12" t="n">
        <v>1</v>
      </c>
      <c r="G12" t="n">
        <v>17.14</v>
      </c>
      <c r="H12">
        <f>F12*E12*G12</f>
        <v/>
      </c>
    </row>
    <row r="13">
      <c r="A13" t="inlineStr">
        <is>
          <t>MTR-20237</t>
        </is>
      </c>
      <c r="B13" t="inlineStr">
        <is>
          <t>Lune Rouge</t>
        </is>
      </c>
      <c r="C13" t="inlineStr">
        <is>
          <t>Precision Liquid Eyeliner</t>
        </is>
      </c>
      <c r="D13" t="inlineStr">
        <is>
          <t>Navy</t>
        </is>
      </c>
      <c r="E13" t="n">
        <v>12</v>
      </c>
      <c r="F13" t="n">
        <v>2</v>
      </c>
      <c r="G13" t="n">
        <v>8.869999999999999</v>
      </c>
      <c r="H13">
        <f>F13*E13*G13</f>
        <v/>
      </c>
    </row>
    <row r="14">
      <c r="A14" t="inlineStr">
        <is>
          <t>MTR-28018</t>
        </is>
      </c>
      <c r="B14" t="inlineStr">
        <is>
          <t>Atelier Noor</t>
        </is>
      </c>
      <c r="C14" t="inlineStr">
        <is>
          <t>Oud Saffron Eau de Parfum</t>
        </is>
      </c>
      <c r="D14" t="inlineStr">
        <is>
          <t>100 ml</t>
        </is>
      </c>
      <c r="E14" t="n">
        <v>6</v>
      </c>
      <c r="F14" t="n">
        <v>1</v>
      </c>
      <c r="G14" t="n">
        <v>115.19</v>
      </c>
      <c r="H14">
        <f>F14*E14*G14</f>
        <v/>
      </c>
    </row>
    <row r="15">
      <c r="A15" t="inlineStr">
        <is>
          <t>MTR-72793</t>
        </is>
      </c>
      <c r="B15" t="inlineStr">
        <is>
          <t>Solenne Paris</t>
        </is>
      </c>
      <c r="C15" t="inlineStr">
        <is>
          <t>Eau Micellaire Cleansing Water</t>
        </is>
      </c>
      <c r="D15" t="inlineStr">
        <is>
          <t>200 ml</t>
        </is>
      </c>
      <c r="E15" t="n">
        <v>6</v>
      </c>
      <c r="F15" t="n">
        <v>6</v>
      </c>
      <c r="G15" t="n">
        <v>43.44</v>
      </c>
      <c r="H15">
        <f>F15*E15*G15</f>
        <v/>
      </c>
    </row>
    <row r="16">
      <c r="A16" t="inlineStr">
        <is>
          <t>MTR-79228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Brown</t>
        </is>
      </c>
      <c r="E16" t="n">
        <v>12</v>
      </c>
      <c r="F16" t="n">
        <v>3</v>
      </c>
      <c r="G16" t="n">
        <v>9.380000000000001</v>
      </c>
      <c r="H16">
        <f>F16*E16*G16</f>
        <v/>
      </c>
    </row>
    <row r="17">
      <c r="A17" t="inlineStr">
        <is>
          <t>MTR-40518</t>
        </is>
      </c>
      <c r="B17" t="inlineStr">
        <is>
          <t>Solenne Paris</t>
        </is>
      </c>
      <c r="C17" t="inlineStr">
        <is>
          <t>Lotion Essentielle Toner</t>
        </is>
      </c>
      <c r="D17" t="inlineStr">
        <is>
          <t>250 ml</t>
        </is>
      </c>
      <c r="E17" t="n">
        <v>6</v>
      </c>
      <c r="F17" t="n">
        <v>1</v>
      </c>
      <c r="G17" t="n">
        <v>65.72</v>
      </c>
      <c r="H17">
        <f>F17*E17*G17</f>
        <v/>
      </c>
    </row>
    <row r="18">
      <c r="A18" t="inlineStr">
        <is>
          <t>MTR-59767</t>
        </is>
      </c>
      <c r="B18" t="inlineStr">
        <is>
          <t>Solenne Paris</t>
        </is>
      </c>
      <c r="C18" t="inlineStr">
        <is>
          <t>Sérum Absolu Regenerating Serum</t>
        </is>
      </c>
      <c r="D18" t="inlineStr">
        <is>
          <t>50 ml</t>
        </is>
      </c>
      <c r="E18" t="n">
        <v>6</v>
      </c>
      <c r="F18" t="n">
        <v>1</v>
      </c>
      <c r="G18" t="n">
        <v>61.01</v>
      </c>
      <c r="H18">
        <f>F18*E18*G18</f>
        <v/>
      </c>
    </row>
    <row r="19">
      <c r="A19" t="inlineStr">
        <is>
          <t>MTR-70150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30 Fuchsia</t>
        </is>
      </c>
      <c r="E19" t="n">
        <v>12</v>
      </c>
      <c r="F19" t="n">
        <v>6</v>
      </c>
      <c r="G19" t="n">
        <v>12.51</v>
      </c>
      <c r="H19">
        <f>F19*E19*G19</f>
        <v/>
      </c>
    </row>
    <row r="20">
      <c r="A20" t="inlineStr">
        <is>
          <t>MTR-85166</t>
        </is>
      </c>
      <c r="B20" t="inlineStr">
        <is>
          <t>Solenne Paris</t>
        </is>
      </c>
      <c r="C20" t="inlineStr">
        <is>
          <t>Sérum Absolu Regenerating Serum</t>
        </is>
      </c>
      <c r="D20" t="inlineStr">
        <is>
          <t>30 ml</t>
        </is>
      </c>
      <c r="E20" t="n">
        <v>6</v>
      </c>
      <c r="F20" t="n">
        <v>1</v>
      </c>
      <c r="G20" t="n">
        <v>42.51</v>
      </c>
      <c r="H20">
        <f>F20*E20*G20</f>
        <v/>
      </c>
    </row>
    <row r="21">
      <c r="A21" t="inlineStr">
        <is>
          <t>MTR-50760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Soft Black</t>
        </is>
      </c>
      <c r="E21" t="n">
        <v>12</v>
      </c>
      <c r="F21" t="n">
        <v>2</v>
      </c>
      <c r="G21" t="n">
        <v>10.16</v>
      </c>
      <c r="H21">
        <f>F21*E21*G21</f>
        <v/>
      </c>
    </row>
    <row r="22">
      <c r="A22" t="inlineStr">
        <is>
          <t>MTR-86917</t>
        </is>
      </c>
      <c r="B22" t="inlineStr">
        <is>
          <t>Solenne Paris</t>
        </is>
      </c>
      <c r="C22" t="inlineStr">
        <is>
          <t>Masque Éclat Radiance Mask</t>
        </is>
      </c>
      <c r="D22" t="inlineStr">
        <is>
          <t>50 ml</t>
        </is>
      </c>
      <c r="E22" t="n">
        <v>6</v>
      </c>
      <c r="F22" t="n">
        <v>2</v>
      </c>
      <c r="G22" t="n">
        <v>37.59</v>
      </c>
      <c r="H22">
        <f>F22*E22*G22</f>
        <v/>
      </c>
    </row>
    <row r="23">
      <c r="A23" t="inlineStr">
        <is>
          <t>MTR-40972</t>
        </is>
      </c>
      <c r="B23" t="inlineStr">
        <is>
          <t>Velour Cosmetics</t>
        </is>
      </c>
      <c r="C23" t="inlineStr">
        <is>
          <t>Soft Focus Blush</t>
        </is>
      </c>
      <c r="D23" t="inlineStr">
        <is>
          <t>Apricot</t>
        </is>
      </c>
      <c r="E23" t="n">
        <v>12</v>
      </c>
      <c r="F23" t="n">
        <v>2</v>
      </c>
      <c r="G23" t="n">
        <v>14.21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MTR-CDG-26-4779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MTR-48671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104 Cherry Gloss</t>
        </is>
      </c>
      <c r="E10" t="n">
        <v>12</v>
      </c>
      <c r="F10" t="n">
        <v>2</v>
      </c>
      <c r="G10" t="n">
        <v>5.36</v>
      </c>
      <c r="H10">
        <f>F10*E10*G10</f>
        <v/>
      </c>
    </row>
    <row r="11">
      <c r="A11" t="inlineStr">
        <is>
          <t>MTR-85088</t>
        </is>
      </c>
      <c r="B11" t="inlineStr">
        <is>
          <t>Velour Cosmetics</t>
        </is>
      </c>
      <c r="C11" t="inlineStr">
        <is>
          <t>Soft Focus Blush</t>
        </is>
      </c>
      <c r="D11" t="inlineStr">
        <is>
          <t>Rosewood</t>
        </is>
      </c>
      <c r="E11" t="n">
        <v>12</v>
      </c>
      <c r="F11" t="n">
        <v>1</v>
      </c>
      <c r="G11" t="n">
        <v>13.28</v>
      </c>
      <c r="H11">
        <f>F11*E11*G11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1</v>
      </c>
      <c r="G12" t="n">
        <v>15.75</v>
      </c>
      <c r="H12">
        <f>F12*E12*G12</f>
        <v/>
      </c>
    </row>
    <row r="13">
      <c r="A13" t="inlineStr">
        <is>
          <t>MTR-80453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135 Lilac</t>
        </is>
      </c>
      <c r="E13" t="n">
        <v>12</v>
      </c>
      <c r="F13" t="n">
        <v>1</v>
      </c>
      <c r="G13" t="n">
        <v>5.58</v>
      </c>
      <c r="H13">
        <f>F13*E13*G13</f>
        <v/>
      </c>
    </row>
    <row r="14">
      <c r="A14" t="inlineStr">
        <is>
          <t>MTR-83664</t>
        </is>
      </c>
      <c r="B14" t="inlineStr">
        <is>
          <t>Solenne Paris</t>
        </is>
      </c>
      <c r="C14" t="inlineStr">
        <is>
          <t>Contour des Yeux Eye Cream</t>
        </is>
      </c>
      <c r="D14" t="inlineStr">
        <is>
          <t>15 ml</t>
        </is>
      </c>
      <c r="E14" t="n">
        <v>6</v>
      </c>
      <c r="F14" t="n">
        <v>6</v>
      </c>
      <c r="G14" t="n">
        <v>20.36</v>
      </c>
      <c r="H14">
        <f>F14*E14*G14</f>
        <v/>
      </c>
    </row>
    <row r="15">
      <c r="A15" t="inlineStr">
        <is>
          <t>MTR-49576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Peach</t>
        </is>
      </c>
      <c r="E15" t="n">
        <v>12</v>
      </c>
      <c r="F15" t="n">
        <v>1</v>
      </c>
      <c r="G15" t="n">
        <v>12.41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1</v>
      </c>
      <c r="G16" t="n">
        <v>32.6</v>
      </c>
      <c r="H16">
        <f>F16*E16*G16</f>
        <v/>
      </c>
    </row>
    <row r="17">
      <c r="A17" t="inlineStr">
        <is>
          <t>MTR-84420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2N Linen</t>
        </is>
      </c>
      <c r="E17" t="n">
        <v>12</v>
      </c>
      <c r="F17" t="n">
        <v>6</v>
      </c>
      <c r="G17" t="n">
        <v>17.24</v>
      </c>
      <c r="H17">
        <f>F17*E17*G17</f>
        <v/>
      </c>
    </row>
    <row r="18">
      <c r="A18" t="inlineStr">
        <is>
          <t>MTR-27992</t>
        </is>
      </c>
      <c r="B18" t="inlineStr">
        <is>
          <t>Solenne Paris</t>
        </is>
      </c>
      <c r="C18" t="inlineStr">
        <is>
          <t>Huile Précieuse Face Oil</t>
        </is>
      </c>
      <c r="D18" t="inlineStr">
        <is>
          <t>30 ml</t>
        </is>
      </c>
      <c r="E18" t="n">
        <v>6</v>
      </c>
      <c r="F18" t="n">
        <v>2</v>
      </c>
      <c r="G18" t="n">
        <v>32.55</v>
      </c>
      <c r="H18">
        <f>F18*E18*G18</f>
        <v/>
      </c>
    </row>
    <row r="19">
      <c r="A19" t="inlineStr">
        <is>
          <t>MTR-79228</t>
        </is>
      </c>
      <c r="B19" t="inlineStr">
        <is>
          <t>Lune Rouge</t>
        </is>
      </c>
      <c r="C19" t="inlineStr">
        <is>
          <t>Precision Liquid Eyeliner</t>
        </is>
      </c>
      <c r="D19" t="inlineStr">
        <is>
          <t>Brown</t>
        </is>
      </c>
      <c r="E19" t="n">
        <v>12</v>
      </c>
      <c r="F19" t="n">
        <v>2</v>
      </c>
      <c r="G19" t="n">
        <v>8.59</v>
      </c>
      <c r="H19">
        <f>F19*E19*G19</f>
        <v/>
      </c>
    </row>
    <row r="20">
      <c r="A20" t="inlineStr">
        <is>
          <t>MTR-16653</t>
        </is>
      </c>
      <c r="B20" t="inlineStr">
        <is>
          <t>Solenne Paris</t>
        </is>
      </c>
      <c r="C20" t="inlineStr">
        <is>
          <t>Masque Éclat Radiance Mask</t>
        </is>
      </c>
      <c r="D20" t="inlineStr">
        <is>
          <t>75 ml</t>
        </is>
      </c>
      <c r="E20" t="n">
        <v>6</v>
      </c>
      <c r="F20" t="n">
        <v>1</v>
      </c>
      <c r="G20" t="n">
        <v>40.85</v>
      </c>
      <c r="H20">
        <f>F20*E20*G20</f>
        <v/>
      </c>
    </row>
    <row r="21">
      <c r="A21" t="inlineStr">
        <is>
          <t>MTR-30934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Taupe</t>
        </is>
      </c>
      <c r="E21" t="n">
        <v>12</v>
      </c>
      <c r="F21" t="n">
        <v>3</v>
      </c>
      <c r="G21" t="n">
        <v>8.65</v>
      </c>
      <c r="H21">
        <f>F21*E21*G21</f>
        <v/>
      </c>
    </row>
    <row r="22" hidden="1">
      <c r="A22" t="inlineStr">
        <is>
          <t>MTR-45842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15 ml</t>
        </is>
      </c>
      <c r="E22" t="n">
        <v>6</v>
      </c>
      <c r="F22" t="n">
        <v>2</v>
      </c>
      <c r="G22" t="n">
        <v>27.64</v>
      </c>
      <c r="H22">
        <f>F22*E22*G22</f>
        <v/>
      </c>
    </row>
    <row r="24">
      <c r="A24" t="inlineStr">
        <is>
          <t>MTR-30701</t>
        </is>
      </c>
      <c r="B24" t="inlineStr">
        <is>
          <t>Atelier Noor</t>
        </is>
      </c>
      <c r="C24" t="inlineStr">
        <is>
          <t>Rose Ambrée Eau de Parfum</t>
        </is>
      </c>
      <c r="D24" t="inlineStr">
        <is>
          <t>50 ml</t>
        </is>
      </c>
      <c r="E24" t="n">
        <v>6</v>
      </c>
      <c r="F24" t="n">
        <v>4</v>
      </c>
      <c r="G24" t="n">
        <v>67.3</v>
      </c>
      <c r="H24">
        <f>F24*E24*G24</f>
        <v/>
      </c>
    </row>
    <row r="25">
      <c r="A25" t="inlineStr">
        <is>
          <t>MTR-11214</t>
        </is>
      </c>
      <c r="B25" t="inlineStr">
        <is>
          <t>Velour Cosmetics</t>
        </is>
      </c>
      <c r="C25" t="inlineStr">
        <is>
          <t>Satin Lip Colour</t>
        </is>
      </c>
      <c r="D25" t="inlineStr">
        <is>
          <t>03 Petal</t>
        </is>
      </c>
      <c r="E25" t="n">
        <v>12</v>
      </c>
      <c r="F25" t="n">
        <v>1</v>
      </c>
      <c r="G25" t="n">
        <v>10.84</v>
      </c>
      <c r="H25">
        <f>F25*E25*G25</f>
        <v/>
      </c>
    </row>
    <row r="26">
      <c r="A26" t="inlineStr">
        <is>
          <t>MTR-47649</t>
        </is>
      </c>
      <c r="B26" t="inlineStr">
        <is>
          <t>Atelier Noor</t>
        </is>
      </c>
      <c r="C26" t="inlineStr">
        <is>
          <t>Vétiver Nocturne Eau de Toilette</t>
        </is>
      </c>
      <c r="D26" t="inlineStr">
        <is>
          <t>100 ml</t>
        </is>
      </c>
      <c r="E26" t="n">
        <v>6</v>
      </c>
      <c r="F26" t="n">
        <v>2</v>
      </c>
      <c r="G26" t="n">
        <v>77.86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MTR-DXB-26-7119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MTR-69634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120 Midnight</t>
        </is>
      </c>
      <c r="E10" t="n">
        <v>12</v>
      </c>
      <c r="F10" t="n">
        <v>1</v>
      </c>
      <c r="G10" t="n">
        <v>5.77</v>
      </c>
      <c r="H10">
        <f>F10*E10*G10</f>
        <v/>
      </c>
    </row>
    <row r="11">
      <c r="A11" t="inlineStr">
        <is>
          <t>MTR-20358</t>
        </is>
      </c>
      <c r="B11" t="inlineStr">
        <is>
          <t>Solenne Paris</t>
        </is>
      </c>
      <c r="C11" t="inlineStr">
        <is>
          <t>Baume Nuit Night Balm</t>
        </is>
      </c>
      <c r="D11" t="inlineStr">
        <is>
          <t>30 ml</t>
        </is>
      </c>
      <c r="E11" t="n">
        <v>6</v>
      </c>
      <c r="F11" t="n">
        <v>2</v>
      </c>
      <c r="G11" t="n">
        <v>41.42</v>
      </c>
      <c r="H11">
        <f>F11*E11*G11</f>
        <v/>
      </c>
    </row>
    <row r="12" hidden="1">
      <c r="A12" t="inlineStr">
        <is>
          <t>MTR-47941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01 Nude Silk</t>
        </is>
      </c>
      <c r="E12" t="n">
        <v>12</v>
      </c>
      <c r="F12" t="n">
        <v>2</v>
      </c>
      <c r="G12" t="n">
        <v>10.91</v>
      </c>
      <c r="H12">
        <f>F12*E12*G12</f>
        <v/>
      </c>
    </row>
    <row r="14">
      <c r="A14" t="inlineStr">
        <is>
          <t>MTR-72793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200 ml</t>
        </is>
      </c>
      <c r="E14" t="n">
        <v>6</v>
      </c>
      <c r="F14" t="n">
        <v>4</v>
      </c>
      <c r="G14" t="n">
        <v>39.64</v>
      </c>
      <c r="H14">
        <f>F14*E14*G14</f>
        <v/>
      </c>
    </row>
    <row r="15">
      <c r="A15" t="inlineStr">
        <is>
          <t>MTR-38947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110 Ballet</t>
        </is>
      </c>
      <c r="E15" t="n">
        <v>12</v>
      </c>
      <c r="F15" t="n">
        <v>1</v>
      </c>
      <c r="G15" t="n">
        <v>5.38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4</v>
      </c>
      <c r="G16" t="n">
        <v>36.22</v>
      </c>
      <c r="H16">
        <f>F16*E16*G16</f>
        <v/>
      </c>
    </row>
    <row r="17">
      <c r="A17" t="inlineStr">
        <is>
          <t>MTR-40042</t>
        </is>
      </c>
      <c r="B17" t="inlineStr"/>
      <c r="C17" t="inlineStr">
        <is>
          <t>Holiday Vault Set Exclusive</t>
        </is>
      </c>
      <c r="D17" t="inlineStr"/>
      <c r="E17" t="inlineStr"/>
      <c r="F17" t="n">
        <v>1</v>
      </c>
      <c r="G17" t="n">
        <v>65.92</v>
      </c>
      <c r="H17">
        <f>F17*G17</f>
        <v/>
      </c>
    </row>
    <row r="18">
      <c r="A18" t="inlineStr">
        <is>
          <t>MTR-53914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08 Terracotta</t>
        </is>
      </c>
      <c r="E18" t="n">
        <v>12</v>
      </c>
      <c r="F18" t="n">
        <v>1</v>
      </c>
      <c r="G18" t="n">
        <v>11.75</v>
      </c>
      <c r="H18">
        <f>F18*E18*G18</f>
        <v/>
      </c>
    </row>
    <row r="19">
      <c r="A19" t="inlineStr">
        <is>
          <t>MTR-24707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Black</t>
        </is>
      </c>
      <c r="E19" t="n">
        <v>12</v>
      </c>
      <c r="F19" t="n">
        <v>1</v>
      </c>
      <c r="G19" t="n">
        <v>9.31</v>
      </c>
      <c r="H19">
        <f>F19*E19*G19</f>
        <v/>
      </c>
    </row>
    <row r="20">
      <c r="A20" t="inlineStr">
        <is>
          <t>MTR-28430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5N Amber</t>
        </is>
      </c>
      <c r="E20" t="n">
        <v>12</v>
      </c>
      <c r="F20" t="n">
        <v>2</v>
      </c>
      <c r="G20" t="n">
        <v>16.08</v>
      </c>
      <c r="H20">
        <f>F20*E20*G20</f>
        <v/>
      </c>
    </row>
    <row r="21">
      <c r="A21" t="inlineStr">
        <is>
          <t>MTR-47649</t>
        </is>
      </c>
      <c r="B21" t="inlineStr">
        <is>
          <t>Atelier Noor</t>
        </is>
      </c>
      <c r="C21" t="inlineStr">
        <is>
          <t>Vétiver Nocturne Eau de Toilette</t>
        </is>
      </c>
      <c r="D21" t="inlineStr">
        <is>
          <t>100 ml</t>
        </is>
      </c>
      <c r="E21" t="n">
        <v>6</v>
      </c>
      <c r="F21" t="n">
        <v>4</v>
      </c>
      <c r="G21" t="n">
        <v>77.86</v>
      </c>
      <c r="H21">
        <f>F21*E21*G21</f>
        <v/>
      </c>
    </row>
    <row r="22">
      <c r="A22" t="inlineStr">
        <is>
          <t>MTR-38627</t>
        </is>
      </c>
      <c r="B22" t="inlineStr">
        <is>
          <t>Lune Rouge</t>
        </is>
      </c>
      <c r="C22" t="inlineStr">
        <is>
          <t>Lacquer Nail Colour</t>
        </is>
      </c>
      <c r="D22" t="inlineStr">
        <is>
          <t>140 Gunmetal</t>
        </is>
      </c>
      <c r="E22" t="n">
        <v>12</v>
      </c>
      <c r="F22" t="n">
        <v>4</v>
      </c>
      <c r="G22" t="n">
        <v>5.75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MTR-SIN-26-2231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MTR-79228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Brown</t>
        </is>
      </c>
      <c r="E10" t="n">
        <v>12</v>
      </c>
      <c r="F10" t="n">
        <v>1</v>
      </c>
      <c r="G10" t="n">
        <v>9.380000000000001</v>
      </c>
      <c r="H10">
        <f>F10*E10*G10</f>
        <v/>
      </c>
    </row>
    <row r="11">
      <c r="A11" t="inlineStr">
        <is>
          <t>MTR-47649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100 ml</t>
        </is>
      </c>
      <c r="E11" t="n">
        <v>6</v>
      </c>
      <c r="F11" t="n">
        <v>2</v>
      </c>
      <c r="G11" t="n">
        <v>87.52</v>
      </c>
      <c r="H11">
        <f>F11*E11*G11</f>
        <v/>
      </c>
    </row>
    <row r="12">
      <c r="A12" t="inlineStr">
        <is>
          <t>MTR-76964</t>
        </is>
      </c>
      <c r="B12" t="inlineStr"/>
      <c r="C12" t="inlineStr">
        <is>
          <t>Mini Lip Trio Gift</t>
        </is>
      </c>
      <c r="D12" t="inlineStr"/>
      <c r="E12" t="inlineStr"/>
      <c r="F12" t="n">
        <v>1</v>
      </c>
      <c r="G12" t="n">
        <v>33.4</v>
      </c>
      <c r="H12">
        <f>F12*G12</f>
        <v/>
      </c>
    </row>
    <row r="13">
      <c r="A13" t="inlineStr">
        <is>
          <t>MTR-48671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104 Cherry Gloss</t>
        </is>
      </c>
      <c r="E13" t="n">
        <v>12</v>
      </c>
      <c r="F13" t="n">
        <v>4</v>
      </c>
      <c r="G13" t="n">
        <v>5.75</v>
      </c>
      <c r="H13">
        <f>F13*E13*G13</f>
        <v/>
      </c>
    </row>
    <row r="14">
      <c r="A14" t="inlineStr">
        <is>
          <t>MTR-89395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123 Mint Chip</t>
        </is>
      </c>
      <c r="E14" t="n">
        <v>12</v>
      </c>
      <c r="F14" t="n">
        <v>2</v>
      </c>
      <c r="G14" t="n">
        <v>5.82</v>
      </c>
      <c r="H14">
        <f>F14*E14*G14</f>
        <v/>
      </c>
    </row>
    <row r="15">
      <c r="A15" t="inlineStr">
        <is>
          <t>MTR-62034</t>
        </is>
      </c>
      <c r="B15" t="inlineStr">
        <is>
          <t>Atelier Noor</t>
        </is>
      </c>
      <c r="C15" t="inlineStr">
        <is>
          <t>Iris Poudré Eau de Parfum</t>
        </is>
      </c>
      <c r="D15" t="inlineStr">
        <is>
          <t>50 ml</t>
        </is>
      </c>
      <c r="E15" t="n">
        <v>6</v>
      </c>
      <c r="F15" t="n">
        <v>2</v>
      </c>
      <c r="G15" t="n">
        <v>68.67</v>
      </c>
      <c r="H15">
        <f>F15*E15*G15</f>
        <v/>
      </c>
    </row>
    <row r="16">
      <c r="A16" t="inlineStr">
        <is>
          <t>MTR-29198</t>
        </is>
      </c>
      <c r="B16" t="inlineStr">
        <is>
          <t>Solenne Paris</t>
        </is>
      </c>
      <c r="C16" t="inlineStr">
        <is>
          <t>Crème Lumière Day Cream</t>
        </is>
      </c>
      <c r="D16" t="inlineStr">
        <is>
          <t>30 ml</t>
        </is>
      </c>
      <c r="E16" t="n">
        <v>6</v>
      </c>
      <c r="F16" t="n">
        <v>1</v>
      </c>
      <c r="G16" t="n">
        <v>38.84</v>
      </c>
      <c r="H16">
        <f>F16*E16*G16</f>
        <v/>
      </c>
    </row>
    <row r="17">
      <c r="A17" t="inlineStr">
        <is>
          <t>MTR-36143</t>
        </is>
      </c>
      <c r="B17" t="inlineStr">
        <is>
          <t>Atelier Noor</t>
        </is>
      </c>
      <c r="C17" t="inlineStr">
        <is>
          <t>Vétiver Nocturne Eau de Toilette</t>
        </is>
      </c>
      <c r="D17" t="inlineStr">
        <is>
          <t>50 ml</t>
        </is>
      </c>
      <c r="E17" t="n">
        <v>6</v>
      </c>
      <c r="F17" t="n">
        <v>3</v>
      </c>
      <c r="G17" t="n">
        <v>56.71</v>
      </c>
      <c r="H17">
        <f>F17*E17*G17</f>
        <v/>
      </c>
    </row>
    <row r="18">
      <c r="A18" t="inlineStr">
        <is>
          <t>MTR-27992</t>
        </is>
      </c>
      <c r="B18" t="inlineStr">
        <is>
          <t>Solenne Paris</t>
        </is>
      </c>
      <c r="C18" t="inlineStr">
        <is>
          <t>Huile Précieuse Face Oil</t>
        </is>
      </c>
      <c r="D18" t="inlineStr">
        <is>
          <t>30 ml</t>
        </is>
      </c>
      <c r="E18" t="n">
        <v>6</v>
      </c>
      <c r="F18" t="n">
        <v>6</v>
      </c>
      <c r="G18" t="n">
        <v>36.27</v>
      </c>
      <c r="H18">
        <f>F18*E18*G18</f>
        <v/>
      </c>
    </row>
    <row r="19">
      <c r="A19" t="inlineStr">
        <is>
          <t>MTR-21725</t>
        </is>
      </c>
      <c r="B19" t="inlineStr">
        <is>
          <t>Atelier Noor</t>
        </is>
      </c>
      <c r="C19" t="inlineStr">
        <is>
          <t>Néroli Soleil Eau de Toilette</t>
        </is>
      </c>
      <c r="D19" t="inlineStr">
        <is>
          <t>100 ml</t>
        </is>
      </c>
      <c r="E19" t="n">
        <v>6</v>
      </c>
      <c r="F19" t="n">
        <v>6</v>
      </c>
      <c r="G19" t="n">
        <v>79.38</v>
      </c>
      <c r="H19">
        <f>F19*E19*G19</f>
        <v/>
      </c>
    </row>
    <row r="20">
      <c r="A20" t="inlineStr">
        <is>
          <t>MTR-22502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4W Caramel</t>
        </is>
      </c>
      <c r="E20" t="n">
        <v>12</v>
      </c>
      <c r="F20" t="n">
        <v>1</v>
      </c>
      <c r="G20" t="n">
        <v>17.75</v>
      </c>
      <c r="H20">
        <f>F20*E20*G20</f>
        <v/>
      </c>
    </row>
    <row r="21">
      <c r="A21" t="inlineStr">
        <is>
          <t>MTR-50760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Soft Black</t>
        </is>
      </c>
      <c r="E21" t="n">
        <v>12</v>
      </c>
      <c r="F21" t="n">
        <v>2</v>
      </c>
      <c r="G21" t="n">
        <v>10.16</v>
      </c>
      <c r="H21">
        <f>F21*E21*G21</f>
        <v/>
      </c>
    </row>
    <row r="22">
      <c r="A22" t="inlineStr">
        <is>
          <t>MTR-72793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200 ml</t>
        </is>
      </c>
      <c r="E22" t="n">
        <v>6</v>
      </c>
      <c r="F22" t="n">
        <v>4</v>
      </c>
      <c r="G22" t="n">
        <v>43.44</v>
      </c>
      <c r="H22">
        <f>F22*E22*G22</f>
        <v/>
      </c>
    </row>
    <row r="23">
      <c r="A23" t="inlineStr">
        <is>
          <t>MTR-42512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5W Toffee</t>
        </is>
      </c>
      <c r="E23" t="n">
        <v>12</v>
      </c>
      <c r="F23" t="n">
        <v>1</v>
      </c>
      <c r="G23" t="n">
        <v>18.04</v>
      </c>
      <c r="H23">
        <f>F23*E23*G23</f>
        <v/>
      </c>
    </row>
    <row r="25">
      <c r="A25" t="inlineStr"/>
      <c r="B25" t="inlineStr"/>
      <c r="C25" s="3" t="inlineStr">
        <is>
          <t>TOTAL</t>
        </is>
      </c>
      <c r="D25" t="inlineStr"/>
      <c r="E25" t="inlineStr"/>
      <c r="F25">
        <f>SUM(F10:F22)</f>
        <v/>
      </c>
      <c r="G25" t="inlineStr"/>
      <c r="H25">
        <f>SUM(H10:H22)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
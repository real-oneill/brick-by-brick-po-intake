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B-T3" sheetId="1" state="visible" r:id="rId1"/>
    <sheet name="SIN-T1" sheetId="2" state="visible" r:id="rId2"/>
    <sheet name="CDG-2E" sheetId="3" state="visible" r:id="rId3"/>
    <sheet name="JFK-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MTR-DXB-26-7370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 hidden="1">
      <c r="A10" t="inlineStr">
        <is>
          <t>MTR-20730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Black</t>
        </is>
      </c>
      <c r="E10" t="n">
        <v>12</v>
      </c>
      <c r="F10" t="n">
        <v>2</v>
      </c>
      <c r="G10" t="n">
        <v>8.68</v>
      </c>
      <c r="H10">
        <f>F10*E10*G10</f>
        <v/>
      </c>
    </row>
    <row r="12">
      <c r="A12" t="inlineStr">
        <is>
          <t>MTR-89007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05 Rose Thé</t>
        </is>
      </c>
      <c r="E12" t="n">
        <v>12</v>
      </c>
      <c r="F12" t="n">
        <v>1</v>
      </c>
      <c r="G12" t="n">
        <v>11.84</v>
      </c>
      <c r="H12">
        <f>F12*E12*G12</f>
        <v/>
      </c>
    </row>
    <row r="13">
      <c r="A13" t="inlineStr">
        <is>
          <t>MTR-21368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4N Honey</t>
        </is>
      </c>
      <c r="E13" t="n">
        <v>12</v>
      </c>
      <c r="F13" t="n">
        <v>6</v>
      </c>
      <c r="G13" t="n">
        <v>17.46</v>
      </c>
      <c r="H13">
        <f>F13*E13*G13</f>
        <v/>
      </c>
    </row>
    <row r="14">
      <c r="A14" t="inlineStr">
        <is>
          <t>MTR-50760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Soft Black</t>
        </is>
      </c>
      <c r="E14" t="n">
        <v>12</v>
      </c>
      <c r="F14" t="n">
        <v>2</v>
      </c>
      <c r="G14" t="n">
        <v>10.16</v>
      </c>
      <c r="H14">
        <f>F14*E14*G14</f>
        <v/>
      </c>
    </row>
    <row r="15">
      <c r="A15" t="inlineStr">
        <is>
          <t>MTR-29198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30 ml</t>
        </is>
      </c>
      <c r="E15" t="n">
        <v>6</v>
      </c>
      <c r="F15" t="n">
        <v>2</v>
      </c>
      <c r="G15" t="n">
        <v>38.84</v>
      </c>
      <c r="H15">
        <f>F15*E15*G15</f>
        <v/>
      </c>
    </row>
    <row r="17">
      <c r="A17" t="inlineStr"/>
      <c r="B17" t="inlineStr"/>
      <c r="C17" s="3" t="inlineStr">
        <is>
          <t>TOTAL</t>
        </is>
      </c>
      <c r="D17" t="inlineStr"/>
      <c r="E17" t="inlineStr"/>
      <c r="F17">
        <f>SUM(F10:F14)</f>
        <v/>
      </c>
      <c r="G17" t="inlineStr"/>
      <c r="H17">
        <f>SUM(H10:H14)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MTR-SIN-26-7975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20-Oct-2026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MTR-32946</t>
        </is>
      </c>
      <c r="B10" t="inlineStr">
        <is>
          <t>Atelier Noor</t>
        </is>
      </c>
      <c r="C10" t="inlineStr">
        <is>
          <t>Musc Blanc Eau de Parfum</t>
        </is>
      </c>
      <c r="D10" t="inlineStr">
        <is>
          <t>100 ml</t>
        </is>
      </c>
      <c r="E10" t="n">
        <v>6</v>
      </c>
      <c r="F10" t="n">
        <v>2</v>
      </c>
      <c r="G10" t="n">
        <v>96.31999999999999</v>
      </c>
      <c r="H10">
        <f>F10*E10*G10</f>
        <v/>
      </c>
    </row>
    <row r="11">
      <c r="A11" t="inlineStr">
        <is>
          <t>MTR-64172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30 ml</t>
        </is>
      </c>
      <c r="E11" t="n">
        <v>12</v>
      </c>
      <c r="F11" t="n">
        <v>2</v>
      </c>
      <c r="G11" t="n">
        <v>59.38</v>
      </c>
      <c r="H11">
        <f>F11*E11*G11</f>
        <v/>
      </c>
    </row>
    <row r="12">
      <c r="A12" t="inlineStr">
        <is>
          <t>MTR-95679</t>
        </is>
      </c>
      <c r="B12" t="inlineStr">
        <is>
          <t>Velour Cosmetics</t>
        </is>
      </c>
      <c r="C12" t="inlineStr">
        <is>
          <t>Soft Focus Blush</t>
        </is>
      </c>
      <c r="D12" t="inlineStr">
        <is>
          <t>Mauve</t>
        </is>
      </c>
      <c r="E12" t="n">
        <v>12</v>
      </c>
      <c r="F12" t="n">
        <v>2</v>
      </c>
      <c r="G12" t="n">
        <v>13.74</v>
      </c>
      <c r="H12">
        <f>F12*E12*G12</f>
        <v/>
      </c>
    </row>
    <row r="13">
      <c r="A13" t="inlineStr">
        <is>
          <t>MTR-40972</t>
        </is>
      </c>
      <c r="B13" t="inlineStr">
        <is>
          <t>Velour Cosmetics</t>
        </is>
      </c>
      <c r="C13" t="inlineStr">
        <is>
          <t>Soft Focus Blush</t>
        </is>
      </c>
      <c r="D13" t="inlineStr">
        <is>
          <t>Apricot</t>
        </is>
      </c>
      <c r="E13" t="n">
        <v>12</v>
      </c>
      <c r="F13" t="n">
        <v>1</v>
      </c>
      <c r="G13" t="n">
        <v>14.21</v>
      </c>
      <c r="H13">
        <f>F13*E13*G13</f>
        <v/>
      </c>
    </row>
    <row r="14">
      <c r="A14" t="inlineStr">
        <is>
          <t>MTR-42512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5W Toffee</t>
        </is>
      </c>
      <c r="E14" t="n">
        <v>12</v>
      </c>
      <c r="F14" t="n">
        <v>2</v>
      </c>
      <c r="G14" t="n">
        <v>18.04</v>
      </c>
      <c r="H14">
        <f>F14*E14*G14</f>
        <v/>
      </c>
    </row>
    <row r="15">
      <c r="A15" t="inlineStr">
        <is>
          <t>MTR-61712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15 ml</t>
        </is>
      </c>
      <c r="E15" t="n">
        <v>6</v>
      </c>
      <c r="F15" t="n">
        <v>3</v>
      </c>
      <c r="G15" t="n">
        <v>26.02</v>
      </c>
      <c r="H15">
        <f>F15*E15*G15</f>
        <v/>
      </c>
    </row>
    <row r="16">
      <c r="A16" t="inlineStr">
        <is>
          <t>MTR-60275</t>
        </is>
      </c>
      <c r="B16" t="inlineStr">
        <is>
          <t>Velour Cosmetics</t>
        </is>
      </c>
      <c r="C16" t="inlineStr">
        <is>
          <t>Velvet Matte Foundation 30 ml</t>
        </is>
      </c>
      <c r="D16" t="inlineStr">
        <is>
          <t>6N Espresso</t>
        </is>
      </c>
      <c r="E16" t="n">
        <v>12</v>
      </c>
      <c r="F16" t="n">
        <v>2</v>
      </c>
      <c r="G16" t="n">
        <v>16.76</v>
      </c>
      <c r="H16">
        <f>F16*E16*G16</f>
        <v/>
      </c>
    </row>
    <row r="17">
      <c r="A17" t="inlineStr">
        <is>
          <t>MTR-94659</t>
        </is>
      </c>
      <c r="B17" t="inlineStr">
        <is>
          <t>Atelier Noor</t>
        </is>
      </c>
      <c r="C17" t="inlineStr">
        <is>
          <t>Néroli Soleil Eau de Toilette</t>
        </is>
      </c>
      <c r="D17" t="inlineStr">
        <is>
          <t>50 ml</t>
        </is>
      </c>
      <c r="E17" t="n">
        <v>6</v>
      </c>
      <c r="F17" t="n">
        <v>4</v>
      </c>
      <c r="G17" t="n">
        <v>51.2</v>
      </c>
      <c r="H17">
        <f>F17*E17*G17</f>
        <v/>
      </c>
    </row>
    <row r="18">
      <c r="A18" t="inlineStr">
        <is>
          <t>MTR-70150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30 Fuchsia</t>
        </is>
      </c>
      <c r="E18" t="n">
        <v>12</v>
      </c>
      <c r="F18" t="n">
        <v>2</v>
      </c>
      <c r="G18" t="n">
        <v>12.51</v>
      </c>
      <c r="H18">
        <f>F18*E18*G18</f>
        <v/>
      </c>
    </row>
    <row r="19">
      <c r="A19" t="inlineStr">
        <is>
          <t>MTR-72793</t>
        </is>
      </c>
      <c r="B19" t="inlineStr">
        <is>
          <t>Solenne Paris</t>
        </is>
      </c>
      <c r="C19" t="inlineStr">
        <is>
          <t>Eau Micellaire Cleansing Water</t>
        </is>
      </c>
      <c r="D19" t="inlineStr">
        <is>
          <t>200 ml</t>
        </is>
      </c>
      <c r="E19" t="n">
        <v>6</v>
      </c>
      <c r="F19" t="n">
        <v>1</v>
      </c>
      <c r="G19" t="n">
        <v>43.44</v>
      </c>
      <c r="H19">
        <f>F19*E19*G19</f>
        <v/>
      </c>
    </row>
    <row r="20">
      <c r="A20" t="inlineStr">
        <is>
          <t>MTR-14763</t>
        </is>
      </c>
      <c r="B20" t="inlineStr">
        <is>
          <t>Atelier Noor</t>
        </is>
      </c>
      <c r="C20" t="inlineStr">
        <is>
          <t>Cuir Fumé Extrait de Parfum</t>
        </is>
      </c>
      <c r="D20" t="inlineStr">
        <is>
          <t>100 ml</t>
        </is>
      </c>
      <c r="E20" t="n">
        <v>6</v>
      </c>
      <c r="F20" t="n">
        <v>1</v>
      </c>
      <c r="G20" t="n">
        <v>156.24</v>
      </c>
      <c r="H20">
        <f>F20*E20*G20</f>
        <v/>
      </c>
    </row>
    <row r="21">
      <c r="A21" t="inlineStr">
        <is>
          <t>MTR-29641</t>
        </is>
      </c>
      <c r="B21" t="inlineStr">
        <is>
          <t>Lune Rouge</t>
        </is>
      </c>
      <c r="C21" t="inlineStr">
        <is>
          <t>Glow Highlighter</t>
        </is>
      </c>
      <c r="D21" t="inlineStr">
        <is>
          <t>Champagne</t>
        </is>
      </c>
      <c r="E21" t="n">
        <v>12</v>
      </c>
      <c r="F21" t="n">
        <v>1</v>
      </c>
      <c r="G21" t="n">
        <v>11.25</v>
      </c>
      <c r="H21">
        <f>F21*E21*G21</f>
        <v/>
      </c>
    </row>
    <row r="22">
      <c r="A22" t="inlineStr">
        <is>
          <t>MTR-38627</t>
        </is>
      </c>
      <c r="B22" t="inlineStr">
        <is>
          <t>Lune Rouge</t>
        </is>
      </c>
      <c r="C22" t="inlineStr">
        <is>
          <t>Lacquer Nail Colour</t>
        </is>
      </c>
      <c r="D22" t="inlineStr">
        <is>
          <t>140 Gunmetal</t>
        </is>
      </c>
      <c r="E22" t="n">
        <v>12</v>
      </c>
      <c r="F22" t="n">
        <v>1</v>
      </c>
      <c r="G22" t="n">
        <v>6.13</v>
      </c>
      <c r="H22">
        <f>F22*E22*G22</f>
        <v/>
      </c>
    </row>
    <row r="23">
      <c r="A23" t="inlineStr">
        <is>
          <t>MTR-20358</t>
        </is>
      </c>
      <c r="B23" t="inlineStr">
        <is>
          <t>Solenne Paris</t>
        </is>
      </c>
      <c r="C23" t="inlineStr">
        <is>
          <t>Baume Nuit Night Balm</t>
        </is>
      </c>
      <c r="D23" t="inlineStr">
        <is>
          <t>30 ml</t>
        </is>
      </c>
      <c r="E23" t="n">
        <v>6</v>
      </c>
      <c r="F23" t="n">
        <v>1</v>
      </c>
      <c r="G23" t="n">
        <v>39.46</v>
      </c>
      <c r="H23">
        <f>F23*E23*G23</f>
        <v/>
      </c>
    </row>
    <row r="24">
      <c r="A24" t="inlineStr">
        <is>
          <t>MTR-44995</t>
        </is>
      </c>
      <c r="B24" t="inlineStr">
        <is>
          <t>Velour Cosmetics</t>
        </is>
      </c>
      <c r="C24" t="inlineStr">
        <is>
          <t>Velvet Matte Foundation 30 ml</t>
        </is>
      </c>
      <c r="D24" t="inlineStr">
        <is>
          <t>7N Ebony</t>
        </is>
      </c>
      <c r="E24" t="n">
        <v>12</v>
      </c>
      <c r="F24" t="n">
        <v>3</v>
      </c>
      <c r="G24" t="n">
        <v>18.54</v>
      </c>
      <c r="H24">
        <f>F24*E24*G24</f>
        <v/>
      </c>
    </row>
    <row r="25">
      <c r="A25" t="inlineStr">
        <is>
          <t>MTR-35318</t>
        </is>
      </c>
      <c r="B25" t="inlineStr">
        <is>
          <t>Velour Cosmetics</t>
        </is>
      </c>
      <c r="C25" t="inlineStr">
        <is>
          <t>Velvet Matte Foundation 30 ml</t>
        </is>
      </c>
      <c r="D25" t="inlineStr">
        <is>
          <t>2W Sand</t>
        </is>
      </c>
      <c r="E25" t="n">
        <v>12</v>
      </c>
      <c r="F25" t="n">
        <v>4</v>
      </c>
      <c r="G25" t="n">
        <v>15.47</v>
      </c>
      <c r="H25">
        <f>F25*E25*G25</f>
        <v/>
      </c>
    </row>
    <row r="26">
      <c r="A26" t="inlineStr">
        <is>
          <t>MTR-30934</t>
        </is>
      </c>
      <c r="B26" t="inlineStr">
        <is>
          <t>Velour Cosmetics</t>
        </is>
      </c>
      <c r="C26" t="inlineStr">
        <is>
          <t>Brow Sculpt Pencil</t>
        </is>
      </c>
      <c r="D26" t="inlineStr">
        <is>
          <t>Taupe</t>
        </is>
      </c>
      <c r="E26" t="n">
        <v>12</v>
      </c>
      <c r="F26" t="n">
        <v>6</v>
      </c>
      <c r="G26" t="n">
        <v>9.529999999999999</v>
      </c>
      <c r="H26">
        <f>F26*E26*G26</f>
        <v/>
      </c>
    </row>
    <row r="27">
      <c r="A27" t="inlineStr">
        <is>
          <t>MTR-94058</t>
        </is>
      </c>
      <c r="B27" t="inlineStr">
        <is>
          <t>Velour Cosmetics</t>
        </is>
      </c>
      <c r="C27" t="inlineStr">
        <is>
          <t>Satin Lip Colour</t>
        </is>
      </c>
      <c r="D27" t="inlineStr">
        <is>
          <t>12 Rouge Velours</t>
        </is>
      </c>
      <c r="E27" t="n">
        <v>12</v>
      </c>
      <c r="F27" t="n">
        <v>6</v>
      </c>
      <c r="G27" t="n">
        <v>12.1</v>
      </c>
      <c r="H27">
        <f>F27*E27*G27</f>
        <v/>
      </c>
    </row>
    <row r="29">
      <c r="A29" t="inlineStr"/>
      <c r="B29" t="inlineStr"/>
      <c r="C29" s="3" t="inlineStr">
        <is>
          <t>TOTAL</t>
        </is>
      </c>
      <c r="D29" t="inlineStr"/>
      <c r="E29" t="inlineStr"/>
      <c r="F29">
        <f>SUM(F10:F26)</f>
        <v/>
      </c>
      <c r="G29" t="inlineStr"/>
      <c r="H29">
        <f>SUM(H10:H26)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MTR-CDG-26-1507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20-Oct-2026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MTR-27992</t>
        </is>
      </c>
      <c r="B10" t="inlineStr">
        <is>
          <t>Solenne Paris</t>
        </is>
      </c>
      <c r="C10" t="inlineStr">
        <is>
          <t>Huile Précieuse Face Oil</t>
        </is>
      </c>
      <c r="D10" t="inlineStr">
        <is>
          <t>30 ml</t>
        </is>
      </c>
      <c r="E10" t="n">
        <v>6</v>
      </c>
      <c r="F10" t="n">
        <v>2</v>
      </c>
      <c r="G10" t="n">
        <v>32.55</v>
      </c>
      <c r="H10">
        <f>F10*E10*G10</f>
        <v/>
      </c>
    </row>
    <row r="11">
      <c r="A11" t="inlineStr">
        <is>
          <t>MTR-78202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Rose Gold</t>
        </is>
      </c>
      <c r="E11" t="n">
        <v>12</v>
      </c>
      <c r="F11" t="n">
        <v>6</v>
      </c>
      <c r="G11" t="n">
        <v>9.789999999999999</v>
      </c>
      <c r="H11">
        <f>F11*E11*G11</f>
        <v/>
      </c>
    </row>
    <row r="12">
      <c r="A12" t="inlineStr">
        <is>
          <t>MTR-30701</t>
        </is>
      </c>
      <c r="B12" t="inlineStr">
        <is>
          <t>Atelier Noor</t>
        </is>
      </c>
      <c r="C12" t="inlineStr">
        <is>
          <t>Rose Ambrée Eau de Parfum</t>
        </is>
      </c>
      <c r="D12" t="inlineStr">
        <is>
          <t>50 ml</t>
        </is>
      </c>
      <c r="E12" t="n">
        <v>6</v>
      </c>
      <c r="F12" t="n">
        <v>1</v>
      </c>
      <c r="G12" t="n">
        <v>67.3</v>
      </c>
      <c r="H12">
        <f>F12*E12*G12</f>
        <v/>
      </c>
    </row>
    <row r="13">
      <c r="A13" t="inlineStr">
        <is>
          <t>MTR-49576</t>
        </is>
      </c>
      <c r="B13" t="inlineStr">
        <is>
          <t>Velour Cosmetics</t>
        </is>
      </c>
      <c r="C13" t="inlineStr">
        <is>
          <t>Soft Focus Blush</t>
        </is>
      </c>
      <c r="D13" t="inlineStr">
        <is>
          <t>Peach</t>
        </is>
      </c>
      <c r="E13" t="n">
        <v>12</v>
      </c>
      <c r="F13" t="n">
        <v>1</v>
      </c>
      <c r="G13" t="n">
        <v>12.41</v>
      </c>
      <c r="H13">
        <f>F13*E13*G13</f>
        <v/>
      </c>
    </row>
    <row r="14" hidden="1">
      <c r="A14" t="inlineStr">
        <is>
          <t>MTR-36497</t>
        </is>
      </c>
      <c r="B14" t="inlineStr">
        <is>
          <t>Lune Rouge</t>
        </is>
      </c>
      <c r="C14" t="inlineStr">
        <is>
          <t>Glow Highlighter</t>
        </is>
      </c>
      <c r="D14" t="inlineStr">
        <is>
          <t>Moonstone</t>
        </is>
      </c>
      <c r="E14" t="n">
        <v>12</v>
      </c>
      <c r="F14" t="n">
        <v>1</v>
      </c>
      <c r="G14" t="n">
        <v>9.789999999999999</v>
      </c>
      <c r="H14">
        <f>F14*E14*G14</f>
        <v/>
      </c>
    </row>
    <row r="16">
      <c r="A16" t="inlineStr">
        <is>
          <t>MTR-80453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135 Lilac</t>
        </is>
      </c>
      <c r="E16" t="n">
        <v>12</v>
      </c>
      <c r="F16" t="n">
        <v>6</v>
      </c>
      <c r="G16" t="n">
        <v>5.58</v>
      </c>
      <c r="H16">
        <f>F16*E16*G16</f>
        <v/>
      </c>
    </row>
    <row r="17">
      <c r="A17" t="inlineStr">
        <is>
          <t>MTR-85166</t>
        </is>
      </c>
      <c r="B17" t="inlineStr">
        <is>
          <t>Solenne Paris</t>
        </is>
      </c>
      <c r="C17" t="inlineStr">
        <is>
          <t>Sérum Absolu Regenerating Serum</t>
        </is>
      </c>
      <c r="D17" t="inlineStr">
        <is>
          <t>30 ml</t>
        </is>
      </c>
      <c r="E17" t="n">
        <v>6</v>
      </c>
      <c r="F17" t="n">
        <v>1</v>
      </c>
      <c r="G17" t="n">
        <v>38.55</v>
      </c>
      <c r="H17">
        <f>F17*E17*G17</f>
        <v/>
      </c>
    </row>
    <row r="18">
      <c r="A18" t="inlineStr">
        <is>
          <t>MTR-38947</t>
        </is>
      </c>
      <c r="B18" t="inlineStr">
        <is>
          <t>Lune Rouge</t>
        </is>
      </c>
      <c r="C18" t="inlineStr">
        <is>
          <t>Lacquer Nail Colour</t>
        </is>
      </c>
      <c r="D18" t="inlineStr">
        <is>
          <t>110 Ballet</t>
        </is>
      </c>
      <c r="E18" t="n">
        <v>12</v>
      </c>
      <c r="F18" t="n">
        <v>2</v>
      </c>
      <c r="G18" t="n">
        <v>5.38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MTR-JFK-26-4476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MTR-85166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30 ml</t>
        </is>
      </c>
      <c r="E10" t="n">
        <v>6</v>
      </c>
      <c r="F10" t="n">
        <v>2</v>
      </c>
      <c r="G10" t="n">
        <v>42.51</v>
      </c>
      <c r="H10">
        <f>F10*E10*G10</f>
        <v/>
      </c>
    </row>
    <row r="11">
      <c r="A11" t="inlineStr">
        <is>
          <t>MTR-93717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101 Opera</t>
        </is>
      </c>
      <c r="E11" t="n">
        <v>12</v>
      </c>
      <c r="F11" t="n">
        <v>4</v>
      </c>
      <c r="G11" t="n">
        <v>6</v>
      </c>
      <c r="H11">
        <f>F11*E11*G11</f>
        <v/>
      </c>
    </row>
    <row r="12">
      <c r="A12" t="inlineStr">
        <is>
          <t>MTR-45842</t>
        </is>
      </c>
      <c r="B12" t="inlineStr">
        <is>
          <t>Solenne Paris</t>
        </is>
      </c>
      <c r="C12" t="inlineStr">
        <is>
          <t>Sérum Absolu Regenerating Serum</t>
        </is>
      </c>
      <c r="D12" t="inlineStr">
        <is>
          <t>15 ml</t>
        </is>
      </c>
      <c r="E12" t="n">
        <v>6</v>
      </c>
      <c r="F12" t="n">
        <v>3</v>
      </c>
      <c r="G12" t="n">
        <v>30.3</v>
      </c>
      <c r="H12">
        <f>F12*E12*G12</f>
        <v/>
      </c>
    </row>
    <row r="13">
      <c r="A13" t="inlineStr">
        <is>
          <t>MTR-34405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1N Porcelain</t>
        </is>
      </c>
      <c r="E13" t="n">
        <v>12</v>
      </c>
      <c r="F13" t="n">
        <v>2</v>
      </c>
      <c r="G13" t="n">
        <v>18.59</v>
      </c>
      <c r="H13">
        <f>F13*E13*G13</f>
        <v/>
      </c>
    </row>
    <row r="14">
      <c r="A14" t="inlineStr">
        <is>
          <t>MTR-22502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4W Caramel</t>
        </is>
      </c>
      <c r="E14" t="n">
        <v>12</v>
      </c>
      <c r="F14" t="n">
        <v>4</v>
      </c>
      <c r="G14" t="n">
        <v>17.75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
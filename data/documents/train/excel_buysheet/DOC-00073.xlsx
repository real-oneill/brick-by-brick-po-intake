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DXB-T3" sheetId="2" state="visible" r:id="rId2"/>
    <sheet name="CDG-2E" sheetId="3" state="visible" r:id="rId3"/>
    <sheet name="LHR-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MTR-JFK-26-5068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MTR-84420</t>
        </is>
      </c>
      <c r="B10" t="inlineStr">
        <is>
          <t>Velour Cosmetics</t>
        </is>
      </c>
      <c r="C10" t="inlineStr">
        <is>
          <t>Velvet Matte Foundation 30 ml</t>
        </is>
      </c>
      <c r="D10" t="inlineStr">
        <is>
          <t>2N Linen</t>
        </is>
      </c>
      <c r="E10" t="n">
        <v>12</v>
      </c>
      <c r="F10" t="n">
        <v>2</v>
      </c>
      <c r="G10" t="n">
        <v>18.76</v>
      </c>
      <c r="H10">
        <f>F10*E10*G10</f>
        <v/>
      </c>
    </row>
    <row r="11">
      <c r="A11" t="inlineStr">
        <is>
          <t>MTR-27589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18 Berry Noir</t>
        </is>
      </c>
      <c r="E11" t="n">
        <v>12</v>
      </c>
      <c r="F11" t="n">
        <v>4</v>
      </c>
      <c r="G11" t="n">
        <v>12.34</v>
      </c>
      <c r="H11">
        <f>F11*E11*G11</f>
        <v/>
      </c>
    </row>
    <row r="12">
      <c r="A12" t="inlineStr">
        <is>
          <t>MTR-42512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5W Toffee</t>
        </is>
      </c>
      <c r="E12" t="n">
        <v>12</v>
      </c>
      <c r="F12" t="n">
        <v>6</v>
      </c>
      <c r="G12" t="n">
        <v>18.04</v>
      </c>
      <c r="H12">
        <f>F12*E12*G12</f>
        <v/>
      </c>
    </row>
    <row r="13">
      <c r="A13" t="inlineStr">
        <is>
          <t>MTR-16653</t>
        </is>
      </c>
      <c r="B13" t="inlineStr">
        <is>
          <t>Solenne Paris</t>
        </is>
      </c>
      <c r="C13" t="inlineStr">
        <is>
          <t>Masque Éclat Radiance Mask</t>
        </is>
      </c>
      <c r="D13" t="inlineStr">
        <is>
          <t>75 ml</t>
        </is>
      </c>
      <c r="E13" t="n">
        <v>6</v>
      </c>
      <c r="F13" t="n">
        <v>6</v>
      </c>
      <c r="G13" t="n">
        <v>45.36</v>
      </c>
      <c r="H13">
        <f>F13*E13*G13</f>
        <v/>
      </c>
    </row>
    <row r="14">
      <c r="A14" t="inlineStr">
        <is>
          <t>MTR-47941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01 Nude Silk</t>
        </is>
      </c>
      <c r="E14" t="n">
        <v>12</v>
      </c>
      <c r="F14" t="n">
        <v>4</v>
      </c>
      <c r="G14" t="n">
        <v>10.36</v>
      </c>
      <c r="H14">
        <f>F14*E14*G14</f>
        <v/>
      </c>
    </row>
    <row r="15">
      <c r="A15" t="inlineStr">
        <is>
          <t>MTR-86917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50 ml</t>
        </is>
      </c>
      <c r="E15" t="n">
        <v>6</v>
      </c>
      <c r="F15" t="n">
        <v>1</v>
      </c>
      <c r="G15" t="n">
        <v>37.59</v>
      </c>
      <c r="H15">
        <f>F15*E15*G15</f>
        <v/>
      </c>
    </row>
    <row r="16">
      <c r="A16" t="inlineStr">
        <is>
          <t>MTR-78202</t>
        </is>
      </c>
      <c r="B16" t="inlineStr">
        <is>
          <t>Lune Rouge</t>
        </is>
      </c>
      <c r="C16" t="inlineStr">
        <is>
          <t>Glow Highlighter</t>
        </is>
      </c>
      <c r="D16" t="inlineStr">
        <is>
          <t>Rose Gold</t>
        </is>
      </c>
      <c r="E16" t="n">
        <v>12</v>
      </c>
      <c r="F16" t="n">
        <v>2</v>
      </c>
      <c r="G16" t="n">
        <v>10.77</v>
      </c>
      <c r="H16">
        <f>F16*E16*G16</f>
        <v/>
      </c>
    </row>
    <row r="17" hidden="1">
      <c r="A17" t="inlineStr">
        <is>
          <t>MTR-79228</t>
        </is>
      </c>
      <c r="B17" t="inlineStr">
        <is>
          <t>Lune Rouge</t>
        </is>
      </c>
      <c r="C17" t="inlineStr">
        <is>
          <t>Precision Liquid Eyeliner</t>
        </is>
      </c>
      <c r="D17" t="inlineStr">
        <is>
          <t>Brown</t>
        </is>
      </c>
      <c r="E17" t="n">
        <v>12</v>
      </c>
      <c r="F17" t="n">
        <v>6</v>
      </c>
      <c r="G17" t="n">
        <v>9.380000000000001</v>
      </c>
      <c r="H17">
        <f>F17*E17*G17</f>
        <v/>
      </c>
    </row>
    <row r="19">
      <c r="A19" t="inlineStr">
        <is>
          <t>MTR-81781</t>
        </is>
      </c>
      <c r="B19" t="inlineStr">
        <is>
          <t>Lune Rouge</t>
        </is>
      </c>
      <c r="C19" t="inlineStr">
        <is>
          <t>Lash Lift Mascara</t>
        </is>
      </c>
      <c r="D19" t="inlineStr">
        <is>
          <t>Brown Black</t>
        </is>
      </c>
      <c r="E19" t="n">
        <v>12</v>
      </c>
      <c r="F19" t="n">
        <v>4</v>
      </c>
      <c r="G19" t="n">
        <v>10.16</v>
      </c>
      <c r="H19">
        <f>F19*E19*G19</f>
        <v/>
      </c>
    </row>
    <row r="20" hidden="1">
      <c r="A20" t="inlineStr">
        <is>
          <t>MTR-29198</t>
        </is>
      </c>
      <c r="B20" t="inlineStr">
        <is>
          <t>Solenne Paris</t>
        </is>
      </c>
      <c r="C20" t="inlineStr">
        <is>
          <t>Crème Lumière Day Cream</t>
        </is>
      </c>
      <c r="D20" t="inlineStr">
        <is>
          <t>30 ml</t>
        </is>
      </c>
      <c r="E20" t="n">
        <v>6</v>
      </c>
      <c r="F20" t="n">
        <v>2</v>
      </c>
      <c r="G20" t="n">
        <v>44.67</v>
      </c>
      <c r="H20">
        <f>F20*E20*G20</f>
        <v/>
      </c>
    </row>
    <row r="23">
      <c r="A23" t="inlineStr"/>
      <c r="B23" t="inlineStr"/>
      <c r="C23" s="3" t="inlineStr">
        <is>
          <t>TOTAL</t>
        </is>
      </c>
      <c r="D23" t="inlineStr"/>
      <c r="E23" t="inlineStr"/>
      <c r="F23">
        <f>SUM(F10:F19)</f>
        <v/>
      </c>
      <c r="G23" t="inlineStr"/>
      <c r="H23">
        <f>SUM(H10:H19)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MTR-DXB-26-9812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MTR-99173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145 Bordeaux</t>
        </is>
      </c>
      <c r="E10" t="n">
        <v>12</v>
      </c>
      <c r="F10" t="n">
        <v>6</v>
      </c>
      <c r="G10" t="n">
        <v>5.42</v>
      </c>
      <c r="H10">
        <f>F10*E10*G10</f>
        <v/>
      </c>
    </row>
    <row r="11">
      <c r="A11" t="inlineStr">
        <is>
          <t>MTR-99167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Clear</t>
        </is>
      </c>
      <c r="E11" t="n">
        <v>12</v>
      </c>
      <c r="F11" t="n">
        <v>1</v>
      </c>
      <c r="G11" t="n">
        <v>7.54</v>
      </c>
      <c r="H11">
        <f>F11*E11*G11</f>
        <v/>
      </c>
    </row>
    <row r="12">
      <c r="A12" t="inlineStr">
        <is>
          <t>MTR-47700</t>
        </is>
      </c>
      <c r="B12" t="inlineStr">
        <is>
          <t>Solenne Paris</t>
        </is>
      </c>
      <c r="C12" t="inlineStr">
        <is>
          <t>Crème Lumière Day Cream</t>
        </is>
      </c>
      <c r="D12" t="inlineStr">
        <is>
          <t>50 ml</t>
        </is>
      </c>
      <c r="E12" t="n">
        <v>6</v>
      </c>
      <c r="F12" t="n">
        <v>2</v>
      </c>
      <c r="G12" t="n">
        <v>47.06</v>
      </c>
      <c r="H12">
        <f>F12*E12*G12</f>
        <v/>
      </c>
    </row>
    <row r="13">
      <c r="A13" t="inlineStr">
        <is>
          <t>MTR-28430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5N Amber</t>
        </is>
      </c>
      <c r="E13" t="n">
        <v>12</v>
      </c>
      <c r="F13" t="n">
        <v>2</v>
      </c>
      <c r="G13" t="n">
        <v>16.08</v>
      </c>
      <c r="H13">
        <f>F13*E13*G13</f>
        <v/>
      </c>
    </row>
    <row r="14">
      <c r="A14" t="inlineStr">
        <is>
          <t>MTR-47941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01 Nude Silk</t>
        </is>
      </c>
      <c r="E14" t="n">
        <v>12</v>
      </c>
      <c r="F14" t="n">
        <v>1</v>
      </c>
      <c r="G14" t="n">
        <v>10.91</v>
      </c>
      <c r="H14">
        <f>F14*E14*G14</f>
        <v/>
      </c>
    </row>
    <row r="15" hidden="1">
      <c r="A15" t="inlineStr">
        <is>
          <t>MTR-86917</t>
        </is>
      </c>
      <c r="B15" t="inlineStr">
        <is>
          <t>Solenne Paris</t>
        </is>
      </c>
      <c r="C15" t="inlineStr">
        <is>
          <t>Masque Éclat Radiance Mask</t>
        </is>
      </c>
      <c r="D15" t="inlineStr">
        <is>
          <t>50 ml</t>
        </is>
      </c>
      <c r="E15" t="n">
        <v>6</v>
      </c>
      <c r="F15" t="n">
        <v>2</v>
      </c>
      <c r="G15" t="n">
        <v>34.12</v>
      </c>
      <c r="H15">
        <f>F15*E15*G15</f>
        <v/>
      </c>
    </row>
    <row r="18">
      <c r="A18" t="inlineStr"/>
      <c r="B18" t="inlineStr"/>
      <c r="C18" s="3" t="inlineStr">
        <is>
          <t>TOTAL</t>
        </is>
      </c>
      <c r="D18" t="inlineStr"/>
      <c r="E18" t="inlineStr"/>
      <c r="F18">
        <f>SUM(F10:F14)</f>
        <v/>
      </c>
      <c r="G18" t="inlineStr"/>
      <c r="H18">
        <f>SUM(H10:H14)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MTR-CDG-26-1133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21-Oct-2026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MTR-42431</t>
        </is>
      </c>
      <c r="B10" t="inlineStr"/>
      <c r="C10" t="inlineStr">
        <is>
          <t>Holiday Vault Set Exclusive</t>
        </is>
      </c>
      <c r="D10" t="inlineStr"/>
      <c r="E10" t="inlineStr"/>
      <c r="F10" t="n">
        <v>1</v>
      </c>
      <c r="G10" t="n">
        <v>7.39</v>
      </c>
      <c r="H10">
        <f>F10*G10</f>
        <v/>
      </c>
    </row>
    <row r="11">
      <c r="A11" t="inlineStr">
        <is>
          <t>MTR-69634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120 Midnight</t>
        </is>
      </c>
      <c r="E11" t="n">
        <v>12</v>
      </c>
      <c r="F11" t="n">
        <v>2</v>
      </c>
      <c r="G11" t="n">
        <v>5.77</v>
      </c>
      <c r="H11">
        <f>F11*E11*G11</f>
        <v/>
      </c>
    </row>
    <row r="12">
      <c r="A12" t="inlineStr">
        <is>
          <t>MTR-80453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135 Lilac</t>
        </is>
      </c>
      <c r="E12" t="n">
        <v>12</v>
      </c>
      <c r="F12" t="n">
        <v>6</v>
      </c>
      <c r="G12" t="n">
        <v>5.58</v>
      </c>
      <c r="H12">
        <f>F12*E12*G12</f>
        <v/>
      </c>
    </row>
    <row r="13" hidden="1">
      <c r="A13" t="inlineStr">
        <is>
          <t>MTR-38947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110 Ballet</t>
        </is>
      </c>
      <c r="E13" t="n">
        <v>12</v>
      </c>
      <c r="F13" t="n">
        <v>6</v>
      </c>
      <c r="G13" t="n">
        <v>5.38</v>
      </c>
      <c r="H13">
        <f>F13*E13*G13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SUM(F10:F12)</f>
        <v/>
      </c>
      <c r="G16" t="inlineStr"/>
      <c r="H16">
        <f>SUM(H10:H12)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MTR-LHR-26-9886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17-Oct-2026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MTR-72350</t>
        </is>
      </c>
      <c r="B10" t="inlineStr">
        <is>
          <t>Atelier Noor</t>
        </is>
      </c>
      <c r="C10" t="inlineStr">
        <is>
          <t>Rose Ambrée Eau de Parfum</t>
        </is>
      </c>
      <c r="D10" t="inlineStr">
        <is>
          <t>100 ml</t>
        </is>
      </c>
      <c r="E10" t="n">
        <v>6</v>
      </c>
      <c r="F10" t="n">
        <v>4</v>
      </c>
      <c r="G10" t="n">
        <v>101.83</v>
      </c>
      <c r="H10">
        <f>F10*E10*G10</f>
        <v/>
      </c>
    </row>
    <row r="11">
      <c r="A11" t="inlineStr">
        <is>
          <t>MTR-76895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Bronze</t>
        </is>
      </c>
      <c r="E11" t="n">
        <v>12</v>
      </c>
      <c r="F11" t="n">
        <v>2</v>
      </c>
      <c r="G11" t="n">
        <v>6.55</v>
      </c>
      <c r="H11">
        <f>F11*E11*G11</f>
        <v/>
      </c>
    </row>
    <row r="12">
      <c r="A12" t="inlineStr">
        <is>
          <t>MTR-40437</t>
        </is>
      </c>
      <c r="B12" t="inlineStr">
        <is>
          <t>Atelier Noor</t>
        </is>
      </c>
      <c r="C12" t="inlineStr">
        <is>
          <t>Musc Blanc Eau de Parfum</t>
        </is>
      </c>
      <c r="D12" t="inlineStr">
        <is>
          <t>30 ml</t>
        </is>
      </c>
      <c r="E12" t="n">
        <v>12</v>
      </c>
      <c r="F12" t="n">
        <v>4</v>
      </c>
      <c r="G12" t="n">
        <v>44.06</v>
      </c>
      <c r="H12">
        <f>F12*E12*G12</f>
        <v/>
      </c>
    </row>
    <row r="13">
      <c r="A13" t="inlineStr">
        <is>
          <t>MTR-20237</t>
        </is>
      </c>
      <c r="B13" t="inlineStr">
        <is>
          <t>Lune Rouge</t>
        </is>
      </c>
      <c r="C13" t="inlineStr">
        <is>
          <t>Precision Liquid Eyeliner</t>
        </is>
      </c>
      <c r="D13" t="inlineStr">
        <is>
          <t>Navy</t>
        </is>
      </c>
      <c r="E13" t="n">
        <v>12</v>
      </c>
      <c r="F13" t="n">
        <v>6</v>
      </c>
      <c r="G13" t="n">
        <v>8.029999999999999</v>
      </c>
      <c r="H13">
        <f>F13*E13*G13</f>
        <v/>
      </c>
    </row>
    <row r="14">
      <c r="A14" t="inlineStr">
        <is>
          <t>MTR-25495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Blonde</t>
        </is>
      </c>
      <c r="E14" t="n">
        <v>12</v>
      </c>
      <c r="F14" t="n">
        <v>1</v>
      </c>
      <c r="G14" t="n">
        <v>9.130000000000001</v>
      </c>
      <c r="H14">
        <f>F14*E14*G14</f>
        <v/>
      </c>
    </row>
    <row r="15">
      <c r="A15" t="inlineStr">
        <is>
          <t>MTR-66059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3W Golden</t>
        </is>
      </c>
      <c r="E15" t="n">
        <v>12</v>
      </c>
      <c r="F15" t="n">
        <v>3</v>
      </c>
      <c r="G15" t="n">
        <v>17.52</v>
      </c>
      <c r="H15">
        <f>F15*E15*G15</f>
        <v/>
      </c>
    </row>
    <row r="16">
      <c r="A16" t="inlineStr">
        <is>
          <t>MTR-22502</t>
        </is>
      </c>
      <c r="B16" t="inlineStr">
        <is>
          <t>Velour Cosmetics</t>
        </is>
      </c>
      <c r="C16" t="inlineStr">
        <is>
          <t>Velvet Matte Foundation 30 ml</t>
        </is>
      </c>
      <c r="D16" t="inlineStr">
        <is>
          <t>4W Caramel</t>
        </is>
      </c>
      <c r="E16" t="n">
        <v>12</v>
      </c>
      <c r="F16" t="n">
        <v>3</v>
      </c>
      <c r="G16" t="n">
        <v>16</v>
      </c>
      <c r="H16">
        <f>F16*E16*G16</f>
        <v/>
      </c>
    </row>
    <row r="17">
      <c r="A17" t="inlineStr">
        <is>
          <t>MTR-86434</t>
        </is>
      </c>
      <c r="B17" t="inlineStr">
        <is>
          <t>Lune Rouge</t>
        </is>
      </c>
      <c r="C17" t="inlineStr">
        <is>
          <t>Lip Gloss Mirror</t>
        </is>
      </c>
      <c r="D17" t="inlineStr">
        <is>
          <t>Pink Pearl</t>
        </is>
      </c>
      <c r="E17" t="n">
        <v>12</v>
      </c>
      <c r="F17" t="n">
        <v>4</v>
      </c>
      <c r="G17" t="n">
        <v>7.26</v>
      </c>
      <c r="H17">
        <f>F17*E17*G17</f>
        <v/>
      </c>
    </row>
    <row r="18">
      <c r="A18" t="inlineStr">
        <is>
          <t>MTR-79604</t>
        </is>
      </c>
      <c r="B18" t="inlineStr">
        <is>
          <t>Solenne Paris</t>
        </is>
      </c>
      <c r="C18" t="inlineStr">
        <is>
          <t>Lotion Essentielle Toner</t>
        </is>
      </c>
      <c r="D18" t="inlineStr">
        <is>
          <t>150 ml</t>
        </is>
      </c>
      <c r="E18" t="n">
        <v>6</v>
      </c>
      <c r="F18" t="n">
        <v>1</v>
      </c>
      <c r="G18" t="n">
        <v>40.96</v>
      </c>
      <c r="H18">
        <f>F18*E18*G18</f>
        <v/>
      </c>
    </row>
    <row r="19">
      <c r="A19" t="inlineStr">
        <is>
          <t>MTR-35318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2W Sand</t>
        </is>
      </c>
      <c r="E19" t="n">
        <v>12</v>
      </c>
      <c r="F19" t="n">
        <v>1</v>
      </c>
      <c r="G19" t="n">
        <v>15.6</v>
      </c>
      <c r="H19">
        <f>F19*E19*G19</f>
        <v/>
      </c>
    </row>
    <row r="20">
      <c r="A20" t="inlineStr">
        <is>
          <t>MTR-11214</t>
        </is>
      </c>
      <c r="B20" t="inlineStr">
        <is>
          <t>Velour Cosmetics</t>
        </is>
      </c>
      <c r="C20" t="inlineStr">
        <is>
          <t>Satin Lip Colour</t>
        </is>
      </c>
      <c r="D20" t="inlineStr">
        <is>
          <t>03 Petal</t>
        </is>
      </c>
      <c r="E20" t="n">
        <v>12</v>
      </c>
      <c r="F20" t="n">
        <v>3</v>
      </c>
      <c r="G20" t="n">
        <v>10.84</v>
      </c>
      <c r="H20">
        <f>F20*E20*G20</f>
        <v/>
      </c>
    </row>
    <row r="21">
      <c r="A21" t="inlineStr">
        <is>
          <t>MTR-72793</t>
        </is>
      </c>
      <c r="B21" t="inlineStr">
        <is>
          <t>Solenne Paris</t>
        </is>
      </c>
      <c r="C21" t="inlineStr">
        <is>
          <t>Eau Micellaire Cleansing Water</t>
        </is>
      </c>
      <c r="D21" t="inlineStr">
        <is>
          <t>200 ml</t>
        </is>
      </c>
      <c r="E21" t="n">
        <v>6</v>
      </c>
      <c r="F21" t="n">
        <v>3</v>
      </c>
      <c r="G21" t="n">
        <v>39.64</v>
      </c>
      <c r="H21">
        <f>F21*E21*G21</f>
        <v/>
      </c>
    </row>
    <row r="22">
      <c r="A22" t="inlineStr">
        <is>
          <t>MTR-54185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1W Ivory</t>
        </is>
      </c>
      <c r="E22" t="n">
        <v>12</v>
      </c>
      <c r="F22" t="n">
        <v>4</v>
      </c>
      <c r="G22" t="n">
        <v>15.72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
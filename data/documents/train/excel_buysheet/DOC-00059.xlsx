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HR-T5" sheetId="1" state="visible" r:id="rId1"/>
    <sheet name="DXB-T3" sheetId="2" state="visible" r:id="rId2"/>
    <sheet name="SIN-T1" sheetId="3" state="visible" r:id="rId3"/>
    <sheet name="CDG-2E" sheetId="4" state="visible" r:id="rId4"/>
    <sheet name="JFK-T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MTR-LHR-26-2527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MTR-99167</t>
        </is>
      </c>
      <c r="B10" t="inlineStr">
        <is>
          <t>Lune Rouge</t>
        </is>
      </c>
      <c r="C10" t="inlineStr">
        <is>
          <t>Lip Gloss Mirror</t>
        </is>
      </c>
      <c r="D10" t="inlineStr">
        <is>
          <t>Clear</t>
        </is>
      </c>
      <c r="E10" t="n">
        <v>12</v>
      </c>
      <c r="F10" t="n">
        <v>2</v>
      </c>
      <c r="G10" t="n">
        <v>9.18</v>
      </c>
      <c r="H10">
        <f>F10*E10*G10</f>
        <v/>
      </c>
    </row>
    <row r="11">
      <c r="A11" t="inlineStr">
        <is>
          <t>MTR-28018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100 ml</t>
        </is>
      </c>
      <c r="E11" t="n">
        <v>6</v>
      </c>
      <c r="F11" t="n">
        <v>2</v>
      </c>
      <c r="G11" t="n">
        <v>115.19</v>
      </c>
      <c r="H11">
        <f>F11*E11*G11</f>
        <v/>
      </c>
    </row>
    <row r="12">
      <c r="A12" t="inlineStr">
        <is>
          <t>MTR-84420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2N Linen</t>
        </is>
      </c>
      <c r="E12" t="n">
        <v>12</v>
      </c>
      <c r="F12" t="n">
        <v>3</v>
      </c>
      <c r="G12" t="n">
        <v>18.76</v>
      </c>
      <c r="H12">
        <f>F12*E12*G12</f>
        <v/>
      </c>
    </row>
    <row r="13">
      <c r="A13" t="inlineStr">
        <is>
          <t>MTR-29198</t>
        </is>
      </c>
      <c r="B13" t="inlineStr">
        <is>
          <t>Solenne Paris</t>
        </is>
      </c>
      <c r="C13" t="inlineStr">
        <is>
          <t>Crème Lumière Day Cream</t>
        </is>
      </c>
      <c r="D13" t="inlineStr">
        <is>
          <t>30 ml</t>
        </is>
      </c>
      <c r="E13" t="n">
        <v>6</v>
      </c>
      <c r="F13" t="n">
        <v>4</v>
      </c>
      <c r="G13" t="n">
        <v>38.84</v>
      </c>
      <c r="H13">
        <f>F13*E13*G13</f>
        <v/>
      </c>
    </row>
    <row r="14">
      <c r="A14" t="inlineStr">
        <is>
          <t>MTR-59767</t>
        </is>
      </c>
      <c r="B14" t="inlineStr">
        <is>
          <t>Solenne Paris</t>
        </is>
      </c>
      <c r="C14" t="inlineStr">
        <is>
          <t>Sérum Absolu Regenerating Serum</t>
        </is>
      </c>
      <c r="D14" t="inlineStr">
        <is>
          <t>50 ml</t>
        </is>
      </c>
      <c r="E14" t="n">
        <v>6</v>
      </c>
      <c r="F14" t="n">
        <v>4</v>
      </c>
      <c r="G14" t="n">
        <v>61.01</v>
      </c>
      <c r="H14">
        <f>F14*E14*G14</f>
        <v/>
      </c>
    </row>
    <row r="15">
      <c r="A15" t="inlineStr">
        <is>
          <t>MTR-42512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5W Toffee</t>
        </is>
      </c>
      <c r="E15" t="n">
        <v>12</v>
      </c>
      <c r="F15" t="n">
        <v>2</v>
      </c>
      <c r="G15" t="n">
        <v>18.04</v>
      </c>
      <c r="H15">
        <f>F15*E15*G15</f>
        <v/>
      </c>
    </row>
    <row r="16">
      <c r="A16" t="inlineStr">
        <is>
          <t>MTR-11214</t>
        </is>
      </c>
      <c r="B16" t="inlineStr">
        <is>
          <t>Velour Cosmetics</t>
        </is>
      </c>
      <c r="C16" t="inlineStr">
        <is>
          <t>Satin Lip Colour</t>
        </is>
      </c>
      <c r="D16" t="inlineStr">
        <is>
          <t>03 Petal</t>
        </is>
      </c>
      <c r="E16" t="n">
        <v>12</v>
      </c>
      <c r="F16" t="n">
        <v>3</v>
      </c>
      <c r="G16" t="n">
        <v>12</v>
      </c>
      <c r="H16">
        <f>F16*E16*G16</f>
        <v/>
      </c>
    </row>
    <row r="17">
      <c r="A17" t="inlineStr">
        <is>
          <t>MTR-36143</t>
        </is>
      </c>
      <c r="B17" t="inlineStr">
        <is>
          <t>Atelier Noor</t>
        </is>
      </c>
      <c r="C17" t="inlineStr">
        <is>
          <t>Vétiver Nocturne Eau de Toilette</t>
        </is>
      </c>
      <c r="D17" t="inlineStr">
        <is>
          <t>50 ml</t>
        </is>
      </c>
      <c r="E17" t="n">
        <v>6</v>
      </c>
      <c r="F17" t="n">
        <v>1</v>
      </c>
      <c r="G17" t="n">
        <v>56.71</v>
      </c>
      <c r="H17">
        <f>F17*E17*G17</f>
        <v/>
      </c>
    </row>
    <row r="18" hidden="1">
      <c r="A18" t="inlineStr">
        <is>
          <t>MTR-86434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Pink Pearl</t>
        </is>
      </c>
      <c r="E18" t="n">
        <v>12</v>
      </c>
      <c r="F18" t="n">
        <v>2</v>
      </c>
      <c r="G18" t="n">
        <v>8.08</v>
      </c>
      <c r="H18">
        <f>F18*E18*G18</f>
        <v/>
      </c>
    </row>
    <row r="20">
      <c r="A20" t="inlineStr">
        <is>
          <t>MTR-40972</t>
        </is>
      </c>
      <c r="B20" t="inlineStr">
        <is>
          <t>Velour Cosmetics</t>
        </is>
      </c>
      <c r="C20" t="inlineStr">
        <is>
          <t>Soft Focus Blush</t>
        </is>
      </c>
      <c r="D20" t="inlineStr">
        <is>
          <t>Apricot</t>
        </is>
      </c>
      <c r="E20" t="n">
        <v>12</v>
      </c>
      <c r="F20" t="n">
        <v>4</v>
      </c>
      <c r="G20" t="n">
        <v>14.21</v>
      </c>
      <c r="H20">
        <f>F20*E20*G20</f>
        <v/>
      </c>
    </row>
    <row r="21">
      <c r="A21" t="inlineStr">
        <is>
          <t>MTR-60275</t>
        </is>
      </c>
      <c r="B21" t="inlineStr">
        <is>
          <t>Velour Cosmetics</t>
        </is>
      </c>
      <c r="C21" t="inlineStr">
        <is>
          <t>Velvet Matte Foundation 30 ml</t>
        </is>
      </c>
      <c r="D21" t="inlineStr">
        <is>
          <t>6N Espresso</t>
        </is>
      </c>
      <c r="E21" t="n">
        <v>12</v>
      </c>
      <c r="F21" t="n">
        <v>2</v>
      </c>
      <c r="G21" t="n">
        <v>16.76</v>
      </c>
      <c r="H21">
        <f>F21*E21*G21</f>
        <v/>
      </c>
    </row>
    <row r="22">
      <c r="A22" t="inlineStr">
        <is>
          <t>MTR-34420</t>
        </is>
      </c>
      <c r="B22" t="inlineStr">
        <is>
          <t>Atelier Noor</t>
        </is>
      </c>
      <c r="C22" t="inlineStr">
        <is>
          <t>Iris Poudré Eau de Parfum</t>
        </is>
      </c>
      <c r="D22" t="inlineStr">
        <is>
          <t>100 ml</t>
        </is>
      </c>
      <c r="E22" t="n">
        <v>6</v>
      </c>
      <c r="F22" t="n">
        <v>1</v>
      </c>
      <c r="G22" t="n">
        <v>103.77</v>
      </c>
      <c r="H22">
        <f>F22*E22*G22</f>
        <v/>
      </c>
    </row>
    <row r="23">
      <c r="A23" t="inlineStr">
        <is>
          <t>MTR-62034</t>
        </is>
      </c>
      <c r="B23" t="inlineStr">
        <is>
          <t>Atelier Noor</t>
        </is>
      </c>
      <c r="C23" t="inlineStr">
        <is>
          <t>Iris Poudré Eau de Parfum</t>
        </is>
      </c>
      <c r="D23" t="inlineStr">
        <is>
          <t>50 ml</t>
        </is>
      </c>
      <c r="E23" t="n">
        <v>6</v>
      </c>
      <c r="F23" t="n">
        <v>4</v>
      </c>
      <c r="G23" t="n">
        <v>68.67</v>
      </c>
      <c r="H23">
        <f>F23*E23*G23</f>
        <v/>
      </c>
    </row>
    <row r="24">
      <c r="A24" t="inlineStr">
        <is>
          <t>MTR-27589</t>
        </is>
      </c>
      <c r="B24" t="inlineStr">
        <is>
          <t>Velour Cosmetics</t>
        </is>
      </c>
      <c r="C24" t="inlineStr">
        <is>
          <t>Satin Lip Colour</t>
        </is>
      </c>
      <c r="D24" t="inlineStr">
        <is>
          <t>18 Berry Noir</t>
        </is>
      </c>
      <c r="E24" t="n">
        <v>12</v>
      </c>
      <c r="F24" t="n">
        <v>2</v>
      </c>
      <c r="G24" t="n">
        <v>12.34</v>
      </c>
      <c r="H24">
        <f>F24*E24*G24</f>
        <v/>
      </c>
    </row>
    <row r="25">
      <c r="A25" t="inlineStr">
        <is>
          <t>MTR-80453</t>
        </is>
      </c>
      <c r="B25" t="inlineStr">
        <is>
          <t>Lune Rouge</t>
        </is>
      </c>
      <c r="C25" t="inlineStr">
        <is>
          <t>Lacquer Nail Colour</t>
        </is>
      </c>
      <c r="D25" t="inlineStr">
        <is>
          <t>135 Lilac</t>
        </is>
      </c>
      <c r="E25" t="n">
        <v>12</v>
      </c>
      <c r="F25" t="n">
        <v>1</v>
      </c>
      <c r="G25" t="n">
        <v>6.11</v>
      </c>
      <c r="H25">
        <f>F25*E25*G25</f>
        <v/>
      </c>
    </row>
    <row r="26">
      <c r="A26" t="inlineStr">
        <is>
          <t>MTR-36497</t>
        </is>
      </c>
      <c r="B26" t="inlineStr">
        <is>
          <t>Lune Rouge</t>
        </is>
      </c>
      <c r="C26" t="inlineStr">
        <is>
          <t>Glow Highlighter</t>
        </is>
      </c>
      <c r="D26" t="inlineStr">
        <is>
          <t>Moonstone</t>
        </is>
      </c>
      <c r="E26" t="n">
        <v>12</v>
      </c>
      <c r="F26" t="n">
        <v>2</v>
      </c>
      <c r="G26" t="n">
        <v>10.69</v>
      </c>
      <c r="H26">
        <f>F26*E26*G26</f>
        <v/>
      </c>
    </row>
    <row r="27">
      <c r="A27" t="inlineStr">
        <is>
          <t>MTR-34405</t>
        </is>
      </c>
      <c r="B27" t="inlineStr">
        <is>
          <t>Velour Cosmetics</t>
        </is>
      </c>
      <c r="C27" t="inlineStr">
        <is>
          <t>Velvet Matte Foundation 30 ml</t>
        </is>
      </c>
      <c r="D27" t="inlineStr">
        <is>
          <t>1N Porcelain</t>
        </is>
      </c>
      <c r="E27" t="n">
        <v>12</v>
      </c>
      <c r="F27" t="n">
        <v>4</v>
      </c>
      <c r="G27" t="n">
        <v>18.59</v>
      </c>
      <c r="H27">
        <f>F27*E27*G27</f>
        <v/>
      </c>
    </row>
    <row r="28">
      <c r="A28" t="inlineStr">
        <is>
          <t>MTR-71918</t>
        </is>
      </c>
      <c r="B28" t="inlineStr">
        <is>
          <t>Atelier Noor</t>
        </is>
      </c>
      <c r="C28" t="inlineStr">
        <is>
          <t>Oud Saffron Eau de Parfum</t>
        </is>
      </c>
      <c r="D28" t="inlineStr">
        <is>
          <t>50 ml</t>
        </is>
      </c>
      <c r="E28" t="n">
        <v>6</v>
      </c>
      <c r="F28" t="n">
        <v>6</v>
      </c>
      <c r="G28" t="n">
        <v>80.51000000000001</v>
      </c>
      <c r="H28">
        <f>F28*E28*G28</f>
        <v/>
      </c>
    </row>
    <row r="29">
      <c r="A29" t="inlineStr">
        <is>
          <t>MTR-49576</t>
        </is>
      </c>
      <c r="B29" t="inlineStr">
        <is>
          <t>Velour Cosmetics</t>
        </is>
      </c>
      <c r="C29" t="inlineStr">
        <is>
          <t>Soft Focus Blush</t>
        </is>
      </c>
      <c r="D29" t="inlineStr">
        <is>
          <t>Peach</t>
        </is>
      </c>
      <c r="E29" t="n">
        <v>12</v>
      </c>
      <c r="F29" t="n">
        <v>6</v>
      </c>
      <c r="G29" t="n">
        <v>13.17</v>
      </c>
      <c r="H29">
        <f>F29*E29*G29</f>
        <v/>
      </c>
    </row>
    <row r="30">
      <c r="A30" t="inlineStr">
        <is>
          <t>MTR-69071</t>
        </is>
      </c>
      <c r="B30" t="inlineStr"/>
      <c r="C30" t="inlineStr">
        <is>
          <t>Travel Exclusive Duo Set</t>
        </is>
      </c>
      <c r="D30" t="inlineStr"/>
      <c r="E30" t="inlineStr"/>
      <c r="F30" t="n">
        <v>2</v>
      </c>
      <c r="G30" t="n">
        <v>9.789999999999999</v>
      </c>
      <c r="H30">
        <f>F30*G30</f>
        <v/>
      </c>
    </row>
    <row r="31">
      <c r="A31" t="inlineStr">
        <is>
          <t>MTR-67983</t>
        </is>
      </c>
      <c r="B31" t="inlineStr">
        <is>
          <t>Solenne Paris</t>
        </is>
      </c>
      <c r="C31" t="inlineStr">
        <is>
          <t>Baume Nuit Night Balm</t>
        </is>
      </c>
      <c r="D31" t="inlineStr">
        <is>
          <t>50 ml</t>
        </is>
      </c>
      <c r="E31" t="n">
        <v>6</v>
      </c>
      <c r="F31" t="n">
        <v>1</v>
      </c>
      <c r="G31" t="n">
        <v>56.98</v>
      </c>
      <c r="H31">
        <f>F31*E31*G31</f>
        <v/>
      </c>
    </row>
    <row r="32">
      <c r="A32" t="inlineStr">
        <is>
          <t>MTR-44995</t>
        </is>
      </c>
      <c r="B32" t="inlineStr">
        <is>
          <t>Velour Cosmetics</t>
        </is>
      </c>
      <c r="C32" t="inlineStr">
        <is>
          <t>Velvet Matte Foundation 30 ml</t>
        </is>
      </c>
      <c r="D32" t="inlineStr">
        <is>
          <t>7N Ebony</t>
        </is>
      </c>
      <c r="E32" t="n">
        <v>12</v>
      </c>
      <c r="F32" t="n">
        <v>1</v>
      </c>
      <c r="G32" t="n">
        <v>18.54</v>
      </c>
      <c r="H32">
        <f>F32*E32*G32</f>
        <v/>
      </c>
    </row>
    <row r="33">
      <c r="A33" t="inlineStr">
        <is>
          <t>MTR-30701</t>
        </is>
      </c>
      <c r="B33" t="inlineStr">
        <is>
          <t>Atelier Noor</t>
        </is>
      </c>
      <c r="C33" t="inlineStr">
        <is>
          <t>Rose Ambrée Eau de Parfum</t>
        </is>
      </c>
      <c r="D33" t="inlineStr">
        <is>
          <t>50 ml</t>
        </is>
      </c>
      <c r="E33" t="n">
        <v>6</v>
      </c>
      <c r="F33" t="n">
        <v>3</v>
      </c>
      <c r="G33" t="n">
        <v>71.13</v>
      </c>
      <c r="H33">
        <f>F33*E33*G33</f>
        <v/>
      </c>
    </row>
    <row r="34">
      <c r="A34" t="inlineStr">
        <is>
          <t>MTR-86917</t>
        </is>
      </c>
      <c r="B34" t="inlineStr">
        <is>
          <t>Solenne Paris</t>
        </is>
      </c>
      <c r="C34" t="inlineStr">
        <is>
          <t>Masque Éclat Radiance Mask</t>
        </is>
      </c>
      <c r="D34" t="inlineStr">
        <is>
          <t>50 ml</t>
        </is>
      </c>
      <c r="E34" t="n">
        <v>6</v>
      </c>
      <c r="F34" t="n">
        <v>3</v>
      </c>
      <c r="G34" t="n">
        <v>37.59</v>
      </c>
      <c r="H34">
        <f>F34*E34*G34</f>
        <v/>
      </c>
    </row>
    <row r="35">
      <c r="A35" t="inlineStr">
        <is>
          <t>MTR-20237</t>
        </is>
      </c>
      <c r="B35" t="inlineStr">
        <is>
          <t>Lune Rouge</t>
        </is>
      </c>
      <c r="C35" t="inlineStr">
        <is>
          <t>Precision Liquid Eyeliner</t>
        </is>
      </c>
      <c r="D35" t="inlineStr">
        <is>
          <t>Navy</t>
        </is>
      </c>
      <c r="E35" t="n">
        <v>12</v>
      </c>
      <c r="F35" t="n">
        <v>6</v>
      </c>
      <c r="G35" t="n">
        <v>8.869999999999999</v>
      </c>
      <c r="H35">
        <f>F35*E35*G35</f>
        <v/>
      </c>
    </row>
    <row r="36">
      <c r="A36" t="inlineStr">
        <is>
          <t>MTR-38627</t>
        </is>
      </c>
      <c r="B36" t="inlineStr">
        <is>
          <t>Lune Rouge</t>
        </is>
      </c>
      <c r="C36" t="inlineStr">
        <is>
          <t>Lacquer Nail Colour</t>
        </is>
      </c>
      <c r="D36" t="inlineStr">
        <is>
          <t>140 Gunmetal</t>
        </is>
      </c>
      <c r="E36" t="n">
        <v>12</v>
      </c>
      <c r="F36" t="n">
        <v>1</v>
      </c>
      <c r="G36" t="n">
        <v>6.13</v>
      </c>
      <c r="H36">
        <f>F36*E36*G36</f>
        <v/>
      </c>
    </row>
    <row r="37">
      <c r="A37" t="inlineStr">
        <is>
          <t>MTR-85088</t>
        </is>
      </c>
      <c r="B37" t="inlineStr">
        <is>
          <t>Velour Cosmetics</t>
        </is>
      </c>
      <c r="C37" t="inlineStr">
        <is>
          <t>Soft Focus Blush</t>
        </is>
      </c>
      <c r="D37" t="inlineStr">
        <is>
          <t>Rosewood</t>
        </is>
      </c>
      <c r="E37" t="n">
        <v>12</v>
      </c>
      <c r="F37" t="n">
        <v>3</v>
      </c>
      <c r="G37" t="n">
        <v>14.4</v>
      </c>
      <c r="H37">
        <f>F37*E37*G37</f>
        <v/>
      </c>
    </row>
    <row r="38">
      <c r="A38" t="inlineStr">
        <is>
          <t>MTR-79228</t>
        </is>
      </c>
      <c r="B38" t="inlineStr">
        <is>
          <t>Lune Rouge</t>
        </is>
      </c>
      <c r="C38" t="inlineStr">
        <is>
          <t>Precision Liquid Eyeliner</t>
        </is>
      </c>
      <c r="D38" t="inlineStr">
        <is>
          <t>Brown</t>
        </is>
      </c>
      <c r="E38" t="n">
        <v>12</v>
      </c>
      <c r="F38" t="n">
        <v>4</v>
      </c>
      <c r="G38" t="n">
        <v>9.380000000000001</v>
      </c>
      <c r="H38">
        <f>F38*E38*G38</f>
        <v/>
      </c>
    </row>
    <row r="39">
      <c r="A39" t="inlineStr">
        <is>
          <t>MTR-69634</t>
        </is>
      </c>
      <c r="B39" t="inlineStr">
        <is>
          <t>Lune Rouge</t>
        </is>
      </c>
      <c r="C39" t="inlineStr">
        <is>
          <t>Lacquer Nail Colour</t>
        </is>
      </c>
      <c r="D39" t="inlineStr">
        <is>
          <t>120 Midnight</t>
        </is>
      </c>
      <c r="E39" t="n">
        <v>12</v>
      </c>
      <c r="F39" t="n">
        <v>2</v>
      </c>
      <c r="G39" t="n">
        <v>6.28</v>
      </c>
      <c r="H39">
        <f>F39*E39*G39</f>
        <v/>
      </c>
    </row>
    <row r="40">
      <c r="A40" t="inlineStr">
        <is>
          <t>MTR-50760</t>
        </is>
      </c>
      <c r="B40" t="inlineStr">
        <is>
          <t>Velour Cosmetics</t>
        </is>
      </c>
      <c r="C40" t="inlineStr">
        <is>
          <t>Brow Sculpt Pencil</t>
        </is>
      </c>
      <c r="D40" t="inlineStr">
        <is>
          <t>Soft Black</t>
        </is>
      </c>
      <c r="E40" t="n">
        <v>12</v>
      </c>
      <c r="F40" t="n">
        <v>6</v>
      </c>
      <c r="G40" t="n">
        <v>10.16</v>
      </c>
      <c r="H40">
        <f>F40*E40*G40</f>
        <v/>
      </c>
    </row>
    <row r="41">
      <c r="A41" t="inlineStr">
        <is>
          <t>MTR-64172</t>
        </is>
      </c>
      <c r="B41" t="inlineStr">
        <is>
          <t>Atelier Noor</t>
        </is>
      </c>
      <c r="C41" t="inlineStr">
        <is>
          <t>Oud Saffron Eau de Parfum</t>
        </is>
      </c>
      <c r="D41" t="inlineStr">
        <is>
          <t>30 ml</t>
        </is>
      </c>
      <c r="E41" t="n">
        <v>12</v>
      </c>
      <c r="F41" t="n">
        <v>1</v>
      </c>
      <c r="G41" t="n">
        <v>59.38</v>
      </c>
      <c r="H41">
        <f>F41*E41*G41</f>
        <v/>
      </c>
    </row>
    <row r="42" hidden="1">
      <c r="A42" t="inlineStr">
        <is>
          <t>MTR-12635</t>
        </is>
      </c>
      <c r="B42" t="inlineStr"/>
      <c r="C42" t="inlineStr">
        <is>
          <t>Discovery Coffret 5x10ml</t>
        </is>
      </c>
      <c r="D42" t="inlineStr"/>
      <c r="E42" t="inlineStr"/>
      <c r="F42" t="n">
        <v>1</v>
      </c>
      <c r="G42" t="n">
        <v>77.97</v>
      </c>
      <c r="H42">
        <f>F42*G42</f>
        <v/>
      </c>
    </row>
    <row r="45">
      <c r="A45" t="inlineStr"/>
      <c r="B45" t="inlineStr"/>
      <c r="C45" s="3" t="inlineStr">
        <is>
          <t>TOTAL</t>
        </is>
      </c>
      <c r="D45" t="inlineStr"/>
      <c r="E45" t="inlineStr"/>
      <c r="F45">
        <f>SUM(F10:F41)</f>
        <v/>
      </c>
      <c r="G45" t="inlineStr"/>
      <c r="H45">
        <f>SUM(H10:H41)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MTR-DXB-26-6386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MTR-24764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25 Prune</t>
        </is>
      </c>
      <c r="E10" t="n">
        <v>12</v>
      </c>
      <c r="F10" t="n">
        <v>2</v>
      </c>
      <c r="G10" t="n">
        <v>12.12</v>
      </c>
      <c r="H10">
        <f>F10*E10*G10</f>
        <v/>
      </c>
    </row>
    <row r="11">
      <c r="A11" t="inlineStr">
        <is>
          <t>MTR-95679</t>
        </is>
      </c>
      <c r="B11" t="inlineStr">
        <is>
          <t>Velour Cosmetics</t>
        </is>
      </c>
      <c r="C11" t="inlineStr">
        <is>
          <t>Soft Focus Blush</t>
        </is>
      </c>
      <c r="D11" t="inlineStr">
        <is>
          <t>Mauve</t>
        </is>
      </c>
      <c r="E11" t="n">
        <v>12</v>
      </c>
      <c r="F11" t="n">
        <v>4</v>
      </c>
      <c r="G11" t="n">
        <v>13.74</v>
      </c>
      <c r="H11">
        <f>F11*E11*G11</f>
        <v/>
      </c>
    </row>
    <row r="12">
      <c r="A12" t="inlineStr">
        <is>
          <t>MTR-81989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130 Coral Reef</t>
        </is>
      </c>
      <c r="E12" t="n">
        <v>12</v>
      </c>
      <c r="F12" t="n">
        <v>2</v>
      </c>
      <c r="G12" t="n">
        <v>5.92</v>
      </c>
      <c r="H12">
        <f>F12*E12*G12</f>
        <v/>
      </c>
    </row>
    <row r="13">
      <c r="A13" t="inlineStr">
        <is>
          <t>MTR-11214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03 Petal</t>
        </is>
      </c>
      <c r="E13" t="n">
        <v>12</v>
      </c>
      <c r="F13" t="n">
        <v>2</v>
      </c>
      <c r="G13" t="n">
        <v>12</v>
      </c>
      <c r="H13">
        <f>F13*E13*G13</f>
        <v/>
      </c>
    </row>
    <row r="14">
      <c r="A14" t="inlineStr">
        <is>
          <t>MTR-76895</t>
        </is>
      </c>
      <c r="B14" t="inlineStr">
        <is>
          <t>Lune Rouge</t>
        </is>
      </c>
      <c r="C14" t="inlineStr">
        <is>
          <t>Lip Gloss Mirror</t>
        </is>
      </c>
      <c r="D14" t="inlineStr">
        <is>
          <t>Bronze</t>
        </is>
      </c>
      <c r="E14" t="n">
        <v>12</v>
      </c>
      <c r="F14" t="n">
        <v>1</v>
      </c>
      <c r="G14" t="n">
        <v>8.15</v>
      </c>
      <c r="H14">
        <f>F14*E14*G14</f>
        <v/>
      </c>
    </row>
    <row r="15">
      <c r="A15" t="inlineStr">
        <is>
          <t>MTR-59767</t>
        </is>
      </c>
      <c r="B15" t="inlineStr">
        <is>
          <t>Solenne Paris</t>
        </is>
      </c>
      <c r="C15" t="inlineStr">
        <is>
          <t>Sérum Absolu Regenerating Serum</t>
        </is>
      </c>
      <c r="D15" t="inlineStr">
        <is>
          <t>50 ml</t>
        </is>
      </c>
      <c r="E15" t="n">
        <v>6</v>
      </c>
      <c r="F15" t="n">
        <v>6</v>
      </c>
      <c r="G15" t="n">
        <v>61.01</v>
      </c>
      <c r="H15">
        <f>F15*E15*G15</f>
        <v/>
      </c>
    </row>
    <row r="16">
      <c r="A16" t="inlineStr">
        <is>
          <t>MTR-30934</t>
        </is>
      </c>
      <c r="B16" t="inlineStr">
        <is>
          <t>Velour Cosmetics</t>
        </is>
      </c>
      <c r="C16" t="inlineStr">
        <is>
          <t>Brow Sculpt Pencil</t>
        </is>
      </c>
      <c r="D16" t="inlineStr">
        <is>
          <t>Taupe</t>
        </is>
      </c>
      <c r="E16" t="n">
        <v>12</v>
      </c>
      <c r="F16" t="n">
        <v>2</v>
      </c>
      <c r="G16" t="n">
        <v>9.529999999999999</v>
      </c>
      <c r="H16">
        <f>F16*E16*G16</f>
        <v/>
      </c>
    </row>
    <row r="17">
      <c r="A17" t="inlineStr">
        <is>
          <t>MTR-40437</t>
        </is>
      </c>
      <c r="B17" t="inlineStr">
        <is>
          <t>Atelier Noor</t>
        </is>
      </c>
      <c r="C17" t="inlineStr">
        <is>
          <t>Musc Blanc Eau de Parfum</t>
        </is>
      </c>
      <c r="D17" t="inlineStr">
        <is>
          <t>30 ml</t>
        </is>
      </c>
      <c r="E17" t="n">
        <v>12</v>
      </c>
      <c r="F17" t="n">
        <v>4</v>
      </c>
      <c r="G17" t="n">
        <v>47.54</v>
      </c>
      <c r="H17">
        <f>F17*E17*G17</f>
        <v/>
      </c>
    </row>
    <row r="18">
      <c r="A18" t="inlineStr">
        <is>
          <t>MTR-40518</t>
        </is>
      </c>
      <c r="B18" t="inlineStr">
        <is>
          <t>Solenne Paris</t>
        </is>
      </c>
      <c r="C18" t="inlineStr">
        <is>
          <t>Lotion Essentielle Toner</t>
        </is>
      </c>
      <c r="D18" t="inlineStr">
        <is>
          <t>250 ml</t>
        </is>
      </c>
      <c r="E18" t="n">
        <v>6</v>
      </c>
      <c r="F18" t="n">
        <v>3</v>
      </c>
      <c r="G18" t="n">
        <v>65.72</v>
      </c>
      <c r="H18">
        <f>F18*E18*G18</f>
        <v/>
      </c>
    </row>
    <row r="19">
      <c r="A19" t="inlineStr">
        <is>
          <t>MTR-82135</t>
        </is>
      </c>
      <c r="B19" t="inlineStr">
        <is>
          <t>Atelier Noor</t>
        </is>
      </c>
      <c r="C19" t="inlineStr">
        <is>
          <t>Rose Ambrée Eau de Parfum</t>
        </is>
      </c>
      <c r="D19" t="inlineStr">
        <is>
          <t>30 ml</t>
        </is>
      </c>
      <c r="E19" t="n">
        <v>12</v>
      </c>
      <c r="F19" t="n">
        <v>4</v>
      </c>
      <c r="G19" t="n">
        <v>53.23</v>
      </c>
      <c r="H19">
        <f>F19*E19*G19</f>
        <v/>
      </c>
    </row>
    <row r="20">
      <c r="A20" t="inlineStr">
        <is>
          <t>MTR-27507</t>
        </is>
      </c>
      <c r="B20" t="inlineStr">
        <is>
          <t>Lune Rouge</t>
        </is>
      </c>
      <c r="C20" t="inlineStr">
        <is>
          <t>Lacquer Nail Colour</t>
        </is>
      </c>
      <c r="D20" t="inlineStr">
        <is>
          <t>115 Sable</t>
        </is>
      </c>
      <c r="E20" t="n">
        <v>12</v>
      </c>
      <c r="F20" t="n">
        <v>6</v>
      </c>
      <c r="G20" t="n">
        <v>5.7</v>
      </c>
      <c r="H20">
        <f>F20*E20*G20</f>
        <v/>
      </c>
    </row>
    <row r="21">
      <c r="A21" t="inlineStr">
        <is>
          <t>MTR-30701</t>
        </is>
      </c>
      <c r="B21" t="inlineStr">
        <is>
          <t>Atelier Noor</t>
        </is>
      </c>
      <c r="C21" t="inlineStr">
        <is>
          <t>Rose Ambrée Eau de Parfum</t>
        </is>
      </c>
      <c r="D21" t="inlineStr">
        <is>
          <t>50 ml</t>
        </is>
      </c>
      <c r="E21" t="n">
        <v>6</v>
      </c>
      <c r="F21" t="n">
        <v>3</v>
      </c>
      <c r="G21" t="n">
        <v>71.13</v>
      </c>
      <c r="H21">
        <f>F21*E21*G21</f>
        <v/>
      </c>
    </row>
    <row r="22">
      <c r="A22" t="inlineStr">
        <is>
          <t>MTR-80592</t>
        </is>
      </c>
      <c r="B22" t="inlineStr">
        <is>
          <t>Solenne Paris</t>
        </is>
      </c>
      <c r="C22" t="inlineStr">
        <is>
          <t>Eau Micellaire Cleansing Water</t>
        </is>
      </c>
      <c r="D22" t="inlineStr">
        <is>
          <t>400 ml</t>
        </is>
      </c>
      <c r="E22" t="n">
        <v>6</v>
      </c>
      <c r="F22" t="n">
        <v>4</v>
      </c>
      <c r="G22" t="n">
        <v>55.53</v>
      </c>
      <c r="H22">
        <f>F22*E22*G22</f>
        <v/>
      </c>
    </row>
    <row r="23">
      <c r="A23" t="inlineStr">
        <is>
          <t>MTR-86917</t>
        </is>
      </c>
      <c r="B23" t="inlineStr">
        <is>
          <t>Solenne Paris</t>
        </is>
      </c>
      <c r="C23" t="inlineStr">
        <is>
          <t>Masque Éclat Radiance Mask</t>
        </is>
      </c>
      <c r="D23" t="inlineStr">
        <is>
          <t>50 ml</t>
        </is>
      </c>
      <c r="E23" t="n">
        <v>6</v>
      </c>
      <c r="F23" t="n">
        <v>3</v>
      </c>
      <c r="G23" t="n">
        <v>37.59</v>
      </c>
      <c r="H23">
        <f>F23*E23*G23</f>
        <v/>
      </c>
    </row>
    <row r="24">
      <c r="A24" t="inlineStr">
        <is>
          <t>MTR-38627</t>
        </is>
      </c>
      <c r="B24" t="inlineStr">
        <is>
          <t>Lune Rouge</t>
        </is>
      </c>
      <c r="C24" t="inlineStr">
        <is>
          <t>Lacquer Nail Colour</t>
        </is>
      </c>
      <c r="D24" t="inlineStr">
        <is>
          <t>140 Gunmetal</t>
        </is>
      </c>
      <c r="E24" t="n">
        <v>12</v>
      </c>
      <c r="F24" t="n">
        <v>3</v>
      </c>
      <c r="G24" t="n">
        <v>6.13</v>
      </c>
      <c r="H24">
        <f>F24*E24*G24</f>
        <v/>
      </c>
    </row>
    <row r="25">
      <c r="A25" t="inlineStr">
        <is>
          <t>MTR-47649</t>
        </is>
      </c>
      <c r="B25" t="inlineStr">
        <is>
          <t>Atelier Noor</t>
        </is>
      </c>
      <c r="C25" t="inlineStr">
        <is>
          <t>Vétiver Nocturne Eau de Toilette</t>
        </is>
      </c>
      <c r="D25" t="inlineStr">
        <is>
          <t>100 ml</t>
        </is>
      </c>
      <c r="E25" t="n">
        <v>6</v>
      </c>
      <c r="F25" t="n">
        <v>4</v>
      </c>
      <c r="G25" t="n">
        <v>87.52</v>
      </c>
      <c r="H25">
        <f>F25*E25*G25</f>
        <v/>
      </c>
    </row>
    <row r="26">
      <c r="A26" t="inlineStr">
        <is>
          <t>MTR-22502</t>
        </is>
      </c>
      <c r="B26" t="inlineStr">
        <is>
          <t>Velour Cosmetics</t>
        </is>
      </c>
      <c r="C26" t="inlineStr">
        <is>
          <t>Velvet Matte Foundation 30 ml</t>
        </is>
      </c>
      <c r="D26" t="inlineStr">
        <is>
          <t>4W Caramel</t>
        </is>
      </c>
      <c r="E26" t="n">
        <v>12</v>
      </c>
      <c r="F26" t="n">
        <v>2</v>
      </c>
      <c r="G26" t="n">
        <v>17.75</v>
      </c>
      <c r="H26">
        <f>F26*E26*G26</f>
        <v/>
      </c>
    </row>
    <row r="27">
      <c r="A27" t="inlineStr">
        <is>
          <t>MTR-27589</t>
        </is>
      </c>
      <c r="B27" t="inlineStr">
        <is>
          <t>Velour Cosmetics</t>
        </is>
      </c>
      <c r="C27" t="inlineStr">
        <is>
          <t>Satin Lip Colour</t>
        </is>
      </c>
      <c r="D27" t="inlineStr">
        <is>
          <t>18 Berry Noir</t>
        </is>
      </c>
      <c r="E27" t="n">
        <v>12</v>
      </c>
      <c r="F27" t="n">
        <v>1</v>
      </c>
      <c r="G27" t="n">
        <v>12.34</v>
      </c>
      <c r="H27">
        <f>F27*E27*G27</f>
        <v/>
      </c>
    </row>
    <row r="28">
      <c r="A28" t="inlineStr">
        <is>
          <t>MTR-79228</t>
        </is>
      </c>
      <c r="B28" t="inlineStr">
        <is>
          <t>Lune Rouge</t>
        </is>
      </c>
      <c r="C28" t="inlineStr">
        <is>
          <t>Precision Liquid Eyeliner</t>
        </is>
      </c>
      <c r="D28" t="inlineStr">
        <is>
          <t>Brown</t>
        </is>
      </c>
      <c r="E28" t="n">
        <v>12</v>
      </c>
      <c r="F28" t="n">
        <v>3</v>
      </c>
      <c r="G28" t="n">
        <v>9.380000000000001</v>
      </c>
      <c r="H28">
        <f>F28*E28*G28</f>
        <v/>
      </c>
    </row>
    <row r="29">
      <c r="A29" t="inlineStr">
        <is>
          <t>MTR-80453</t>
        </is>
      </c>
      <c r="B29" t="inlineStr">
        <is>
          <t>Lune Rouge</t>
        </is>
      </c>
      <c r="C29" t="inlineStr">
        <is>
          <t>Lacquer Nail Colour</t>
        </is>
      </c>
      <c r="D29" t="inlineStr">
        <is>
          <t>135 Lilac</t>
        </is>
      </c>
      <c r="E29" t="n">
        <v>12</v>
      </c>
      <c r="F29" t="n">
        <v>2</v>
      </c>
      <c r="G29" t="n">
        <v>6.11</v>
      </c>
      <c r="H29">
        <f>F29*E29*G29</f>
        <v/>
      </c>
    </row>
    <row r="30">
      <c r="A30" t="inlineStr">
        <is>
          <t>MTR-83664</t>
        </is>
      </c>
      <c r="B30" t="inlineStr">
        <is>
          <t>Solenne Paris</t>
        </is>
      </c>
      <c r="C30" t="inlineStr">
        <is>
          <t>Contour des Yeux Eye Cream</t>
        </is>
      </c>
      <c r="D30" t="inlineStr">
        <is>
          <t>15 ml</t>
        </is>
      </c>
      <c r="E30" t="n">
        <v>6</v>
      </c>
      <c r="F30" t="n">
        <v>1</v>
      </c>
      <c r="G30" t="n">
        <v>22.21</v>
      </c>
      <c r="H30">
        <f>F30*E30*G30</f>
        <v/>
      </c>
    </row>
    <row r="31">
      <c r="A31" t="inlineStr">
        <is>
          <t>MTR-99173</t>
        </is>
      </c>
      <c r="B31" t="inlineStr">
        <is>
          <t>Lune Rouge</t>
        </is>
      </c>
      <c r="C31" t="inlineStr">
        <is>
          <t>Lacquer Nail Colour</t>
        </is>
      </c>
      <c r="D31" t="inlineStr">
        <is>
          <t>145 Bordeaux</t>
        </is>
      </c>
      <c r="E31" t="n">
        <v>12</v>
      </c>
      <c r="F31" t="n">
        <v>6</v>
      </c>
      <c r="G31" t="n">
        <v>6.01</v>
      </c>
      <c r="H31">
        <f>F31*E31*G31</f>
        <v/>
      </c>
    </row>
    <row r="32">
      <c r="A32" t="inlineStr">
        <is>
          <t>MTR-64172</t>
        </is>
      </c>
      <c r="B32" t="inlineStr">
        <is>
          <t>Atelier Noor</t>
        </is>
      </c>
      <c r="C32" t="inlineStr">
        <is>
          <t>Oud Saffron Eau de Parfum</t>
        </is>
      </c>
      <c r="D32" t="inlineStr">
        <is>
          <t>30 ml</t>
        </is>
      </c>
      <c r="E32" t="n">
        <v>12</v>
      </c>
      <c r="F32" t="n">
        <v>2</v>
      </c>
      <c r="G32" t="n">
        <v>59.38</v>
      </c>
      <c r="H32">
        <f>F32*E32*G32</f>
        <v/>
      </c>
    </row>
    <row r="33">
      <c r="A33" t="inlineStr">
        <is>
          <t>MTR-75866</t>
        </is>
      </c>
      <c r="B33" t="inlineStr">
        <is>
          <t>Velour Cosmetics</t>
        </is>
      </c>
      <c r="C33" t="inlineStr">
        <is>
          <t>Brow Sculpt Pencil</t>
        </is>
      </c>
      <c r="D33" t="inlineStr">
        <is>
          <t>Brunette</t>
        </is>
      </c>
      <c r="E33" t="n">
        <v>12</v>
      </c>
      <c r="F33" t="n">
        <v>1</v>
      </c>
      <c r="G33" t="n">
        <v>9.039999999999999</v>
      </c>
      <c r="H33">
        <f>F33*E33*G33</f>
        <v/>
      </c>
    </row>
    <row r="34">
      <c r="A34" t="inlineStr">
        <is>
          <t>MTR-21368</t>
        </is>
      </c>
      <c r="B34" t="inlineStr">
        <is>
          <t>Velour Cosmetics</t>
        </is>
      </c>
      <c r="C34" t="inlineStr">
        <is>
          <t>Velvet Matte Foundation 30 ml</t>
        </is>
      </c>
      <c r="D34" t="inlineStr">
        <is>
          <t>4N Honey</t>
        </is>
      </c>
      <c r="E34" t="n">
        <v>12</v>
      </c>
      <c r="F34" t="n">
        <v>2</v>
      </c>
      <c r="G34" t="n">
        <v>17.46</v>
      </c>
      <c r="H34">
        <f>F34*E34*G34</f>
        <v/>
      </c>
    </row>
    <row r="35">
      <c r="A35" t="inlineStr">
        <is>
          <t>MTR-62034</t>
        </is>
      </c>
      <c r="B35" t="inlineStr">
        <is>
          <t>Atelier Noor</t>
        </is>
      </c>
      <c r="C35" t="inlineStr">
        <is>
          <t>Iris Poudré Eau de Parfum</t>
        </is>
      </c>
      <c r="D35" t="inlineStr">
        <is>
          <t>50 ml</t>
        </is>
      </c>
      <c r="E35" t="n">
        <v>6</v>
      </c>
      <c r="F35" t="n">
        <v>6</v>
      </c>
      <c r="G35" t="n">
        <v>60.43</v>
      </c>
      <c r="H35">
        <f>F35*E35*G35</f>
        <v/>
      </c>
    </row>
    <row r="36">
      <c r="A36" t="inlineStr">
        <is>
          <t>MTR-89007</t>
        </is>
      </c>
      <c r="B36" t="inlineStr">
        <is>
          <t>Velour Cosmetics</t>
        </is>
      </c>
      <c r="C36" t="inlineStr">
        <is>
          <t>Satin Lip Colour</t>
        </is>
      </c>
      <c r="D36" t="inlineStr">
        <is>
          <t>05 Rose Thé</t>
        </is>
      </c>
      <c r="E36" t="n">
        <v>12</v>
      </c>
      <c r="F36" t="n">
        <v>3</v>
      </c>
      <c r="G36" t="n">
        <v>11.84</v>
      </c>
      <c r="H36">
        <f>F36*E36*G36</f>
        <v/>
      </c>
    </row>
    <row r="37">
      <c r="A37" t="inlineStr">
        <is>
          <t>MTR-34420</t>
        </is>
      </c>
      <c r="B37" t="inlineStr">
        <is>
          <t>Atelier Noor</t>
        </is>
      </c>
      <c r="C37" t="inlineStr">
        <is>
          <t>Iris Poudré Eau de Parfum</t>
        </is>
      </c>
      <c r="D37" t="inlineStr">
        <is>
          <t>100 ml</t>
        </is>
      </c>
      <c r="E37" t="n">
        <v>6</v>
      </c>
      <c r="F37" t="n">
        <v>2</v>
      </c>
      <c r="G37" t="n">
        <v>103.77</v>
      </c>
      <c r="H37">
        <f>F37*E37*G37</f>
        <v/>
      </c>
    </row>
    <row r="38">
      <c r="A38" t="inlineStr">
        <is>
          <t>MTR-94058</t>
        </is>
      </c>
      <c r="B38" t="inlineStr">
        <is>
          <t>Velour Cosmetics</t>
        </is>
      </c>
      <c r="C38" t="inlineStr">
        <is>
          <t>Satin Lip Colour</t>
        </is>
      </c>
      <c r="D38" t="inlineStr">
        <is>
          <t>12 Rouge Velours</t>
        </is>
      </c>
      <c r="E38" t="n">
        <v>12</v>
      </c>
      <c r="F38" t="n">
        <v>6</v>
      </c>
      <c r="G38" t="n">
        <v>12.1</v>
      </c>
      <c r="H38">
        <f>F38*E38*G38</f>
        <v/>
      </c>
    </row>
    <row r="39">
      <c r="A39" t="inlineStr">
        <is>
          <t>MTR-16653</t>
        </is>
      </c>
      <c r="B39" t="inlineStr">
        <is>
          <t>Solenne Paris</t>
        </is>
      </c>
      <c r="C39" t="inlineStr">
        <is>
          <t>Masque Éclat Radiance Mask</t>
        </is>
      </c>
      <c r="D39" t="inlineStr">
        <is>
          <t>75 ml</t>
        </is>
      </c>
      <c r="E39" t="n">
        <v>6</v>
      </c>
      <c r="F39" t="n">
        <v>2</v>
      </c>
      <c r="G39" t="n">
        <v>45.36</v>
      </c>
      <c r="H39">
        <f>F39*E39*G39</f>
        <v/>
      </c>
    </row>
    <row r="40" hidden="1">
      <c r="A40" t="inlineStr">
        <is>
          <t>MTR-25495</t>
        </is>
      </c>
      <c r="B40" t="inlineStr">
        <is>
          <t>Velour Cosmetics</t>
        </is>
      </c>
      <c r="C40" t="inlineStr">
        <is>
          <t>Brow Sculpt Pencil</t>
        </is>
      </c>
      <c r="D40" t="inlineStr">
        <is>
          <t>Blonde</t>
        </is>
      </c>
      <c r="E40" t="n">
        <v>12</v>
      </c>
      <c r="F40" t="n">
        <v>3</v>
      </c>
      <c r="G40" t="n">
        <v>9.880000000000001</v>
      </c>
      <c r="H40">
        <f>F40*E40*G40</f>
        <v/>
      </c>
    </row>
    <row r="42">
      <c r="A42" t="inlineStr">
        <is>
          <t>MTR-33040</t>
        </is>
      </c>
      <c r="B42" t="inlineStr">
        <is>
          <t>Atelier Noor</t>
        </is>
      </c>
      <c r="C42" t="inlineStr">
        <is>
          <t>Cuir Fumé Extrait de Parfum</t>
        </is>
      </c>
      <c r="D42" t="inlineStr">
        <is>
          <t>50 ml</t>
        </is>
      </c>
      <c r="E42" t="n">
        <v>6</v>
      </c>
      <c r="F42" t="n">
        <v>2</v>
      </c>
      <c r="G42" t="n">
        <v>106.68</v>
      </c>
      <c r="H42">
        <f>F42*E42*G42</f>
        <v/>
      </c>
    </row>
    <row r="43">
      <c r="A43" t="inlineStr">
        <is>
          <t>MTR-38280</t>
        </is>
      </c>
      <c r="B43" t="inlineStr"/>
      <c r="C43" t="inlineStr">
        <is>
          <t>Mini Lip Trio Gift</t>
        </is>
      </c>
      <c r="D43" t="inlineStr"/>
      <c r="E43" t="inlineStr"/>
      <c r="F43" t="n">
        <v>2</v>
      </c>
      <c r="G43" t="n">
        <v>76.44</v>
      </c>
      <c r="H43">
        <f>F43*G43</f>
        <v/>
      </c>
    </row>
    <row r="44">
      <c r="A44" t="inlineStr">
        <is>
          <t>MTR-42512</t>
        </is>
      </c>
      <c r="B44" t="inlineStr">
        <is>
          <t>Velour Cosmetics</t>
        </is>
      </c>
      <c r="C44" t="inlineStr">
        <is>
          <t>Velvet Matte Foundation 30 ml</t>
        </is>
      </c>
      <c r="D44" t="inlineStr">
        <is>
          <t>5W Toffee</t>
        </is>
      </c>
      <c r="E44" t="n">
        <v>12</v>
      </c>
      <c r="F44" t="n">
        <v>4</v>
      </c>
      <c r="G44" t="n">
        <v>18.04</v>
      </c>
      <c r="H44">
        <f>F44*E44*G44</f>
        <v/>
      </c>
    </row>
    <row r="45">
      <c r="A45" t="inlineStr">
        <is>
          <t>MTR-61712</t>
        </is>
      </c>
      <c r="B45" t="inlineStr">
        <is>
          <t>Solenne Paris</t>
        </is>
      </c>
      <c r="C45" t="inlineStr">
        <is>
          <t>Crème Lumière Day Cream</t>
        </is>
      </c>
      <c r="D45" t="inlineStr">
        <is>
          <t>15 ml</t>
        </is>
      </c>
      <c r="E45" t="n">
        <v>6</v>
      </c>
      <c r="F45" t="n">
        <v>4</v>
      </c>
      <c r="G45" t="n">
        <v>26.02</v>
      </c>
      <c r="H45">
        <f>F45*E45*G45</f>
        <v/>
      </c>
    </row>
    <row r="47">
      <c r="A47" t="inlineStr"/>
      <c r="B47" t="inlineStr"/>
      <c r="C47" s="3" t="inlineStr">
        <is>
          <t>TOTAL</t>
        </is>
      </c>
      <c r="D47" t="inlineStr"/>
      <c r="E47" t="inlineStr"/>
      <c r="F47">
        <f>SUM(F10:F44)</f>
        <v/>
      </c>
      <c r="G47" t="inlineStr"/>
      <c r="H47">
        <f>SUM(H10:H44)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MTR-SIN-26-5701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13-Oct-2026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MTR-36143</t>
        </is>
      </c>
      <c r="B10" t="inlineStr">
        <is>
          <t>Atelier Noor</t>
        </is>
      </c>
      <c r="C10" t="inlineStr">
        <is>
          <t>Vétiver Nocturne Eau de Toilette</t>
        </is>
      </c>
      <c r="D10" t="inlineStr">
        <is>
          <t>50 ml</t>
        </is>
      </c>
      <c r="E10" t="n">
        <v>6</v>
      </c>
      <c r="F10" t="n">
        <v>3</v>
      </c>
      <c r="G10" t="n">
        <v>56.71</v>
      </c>
      <c r="H10">
        <f>F10*E10*G10</f>
        <v/>
      </c>
    </row>
    <row r="11">
      <c r="A11" t="inlineStr">
        <is>
          <t>MTR-22502</t>
        </is>
      </c>
      <c r="B11" t="inlineStr">
        <is>
          <t>Velour Cosmetics</t>
        </is>
      </c>
      <c r="C11" t="inlineStr">
        <is>
          <t>Velvet Matte Foundation 30 ml</t>
        </is>
      </c>
      <c r="D11" t="inlineStr">
        <is>
          <t>4W Caramel</t>
        </is>
      </c>
      <c r="E11" t="n">
        <v>12</v>
      </c>
      <c r="F11" t="n">
        <v>3</v>
      </c>
      <c r="G11" t="n">
        <v>17.75</v>
      </c>
      <c r="H11">
        <f>F11*E11*G11</f>
        <v/>
      </c>
    </row>
    <row r="12">
      <c r="A12" t="inlineStr">
        <is>
          <t>MTR-38947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110 Ballet</t>
        </is>
      </c>
      <c r="E12" t="n">
        <v>12</v>
      </c>
      <c r="F12" t="n">
        <v>1</v>
      </c>
      <c r="G12" t="n">
        <v>5.85</v>
      </c>
      <c r="H12">
        <f>F12*E12*G12</f>
        <v/>
      </c>
    </row>
    <row r="13">
      <c r="A13" t="inlineStr">
        <is>
          <t>MTR-36497</t>
        </is>
      </c>
      <c r="B13" t="inlineStr">
        <is>
          <t>Lune Rouge</t>
        </is>
      </c>
      <c r="C13" t="inlineStr">
        <is>
          <t>Glow Highlighter</t>
        </is>
      </c>
      <c r="D13" t="inlineStr">
        <is>
          <t>Moonstone</t>
        </is>
      </c>
      <c r="E13" t="n">
        <v>12</v>
      </c>
      <c r="F13" t="n">
        <v>1</v>
      </c>
      <c r="G13" t="n">
        <v>10.69</v>
      </c>
      <c r="H13">
        <f>F13*E13*G13</f>
        <v/>
      </c>
    </row>
    <row r="14">
      <c r="A14" t="inlineStr">
        <is>
          <t>MTR-30934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Taupe</t>
        </is>
      </c>
      <c r="E14" t="n">
        <v>12</v>
      </c>
      <c r="F14" t="n">
        <v>1</v>
      </c>
      <c r="G14" t="n">
        <v>9.529999999999999</v>
      </c>
      <c r="H14">
        <f>F14*E14*G14</f>
        <v/>
      </c>
    </row>
    <row r="15">
      <c r="A15" t="inlineStr">
        <is>
          <t>MTR-71344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22 Corail</t>
        </is>
      </c>
      <c r="E15" t="n">
        <v>12</v>
      </c>
      <c r="F15" t="n">
        <v>6</v>
      </c>
      <c r="G15" t="n">
        <v>12.16</v>
      </c>
      <c r="H15">
        <f>F15*E15*G15</f>
        <v/>
      </c>
    </row>
    <row r="16">
      <c r="A16" t="inlineStr">
        <is>
          <t>MTR-94659</t>
        </is>
      </c>
      <c r="B16" t="inlineStr">
        <is>
          <t>Atelier Noor</t>
        </is>
      </c>
      <c r="C16" t="inlineStr">
        <is>
          <t>Néroli Soleil Eau de Toilette</t>
        </is>
      </c>
      <c r="D16" t="inlineStr">
        <is>
          <t>50 ml</t>
        </is>
      </c>
      <c r="E16" t="n">
        <v>6</v>
      </c>
      <c r="F16" t="n">
        <v>4</v>
      </c>
      <c r="G16" t="n">
        <v>51.2</v>
      </c>
      <c r="H16">
        <f>F16*E16*G16</f>
        <v/>
      </c>
    </row>
    <row r="17">
      <c r="A17" t="inlineStr">
        <is>
          <t>MTR-27992</t>
        </is>
      </c>
      <c r="B17" t="inlineStr">
        <is>
          <t>Solenne Paris</t>
        </is>
      </c>
      <c r="C17" t="inlineStr">
        <is>
          <t>Huile Précieuse Face Oil</t>
        </is>
      </c>
      <c r="D17" t="inlineStr">
        <is>
          <t>30 ml</t>
        </is>
      </c>
      <c r="E17" t="n">
        <v>6</v>
      </c>
      <c r="F17" t="n">
        <v>1</v>
      </c>
      <c r="G17" t="n">
        <v>36.27</v>
      </c>
      <c r="H17">
        <f>F17*E17*G17</f>
        <v/>
      </c>
    </row>
    <row r="18">
      <c r="A18" t="inlineStr">
        <is>
          <t>MTR-80592</t>
        </is>
      </c>
      <c r="B18" t="inlineStr">
        <is>
          <t>Solenne Paris</t>
        </is>
      </c>
      <c r="C18" t="inlineStr">
        <is>
          <t>Eau Micellaire Cleansing Water</t>
        </is>
      </c>
      <c r="D18" t="inlineStr">
        <is>
          <t>400 ml</t>
        </is>
      </c>
      <c r="E18" t="n">
        <v>6</v>
      </c>
      <c r="F18" t="n">
        <v>2</v>
      </c>
      <c r="G18" t="n">
        <v>55.53</v>
      </c>
      <c r="H18">
        <f>F18*E18*G18</f>
        <v/>
      </c>
    </row>
    <row r="19">
      <c r="A19" t="inlineStr">
        <is>
          <t>MTR-54185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1W Ivory</t>
        </is>
      </c>
      <c r="E19" t="n">
        <v>12</v>
      </c>
      <c r="F19" t="n">
        <v>1</v>
      </c>
      <c r="G19" t="n">
        <v>16.7</v>
      </c>
      <c r="H19">
        <f>F19*E19*G19</f>
        <v/>
      </c>
    </row>
    <row r="20">
      <c r="A20" t="inlineStr">
        <is>
          <t>MTR-30701</t>
        </is>
      </c>
      <c r="B20" t="inlineStr">
        <is>
          <t>Atelier Noor</t>
        </is>
      </c>
      <c r="C20" t="inlineStr">
        <is>
          <t>Rose Ambrée Eau de Parfum</t>
        </is>
      </c>
      <c r="D20" t="inlineStr">
        <is>
          <t>50 ml</t>
        </is>
      </c>
      <c r="E20" t="n">
        <v>6</v>
      </c>
      <c r="F20" t="n">
        <v>1</v>
      </c>
      <c r="G20" t="n">
        <v>71.13</v>
      </c>
      <c r="H20">
        <f>F20*E20*G20</f>
        <v/>
      </c>
    </row>
    <row r="21">
      <c r="A21" t="inlineStr">
        <is>
          <t>MTR-47941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01 Nude Silk</t>
        </is>
      </c>
      <c r="E21" t="n">
        <v>12</v>
      </c>
      <c r="F21" t="n">
        <v>6</v>
      </c>
      <c r="G21" t="n">
        <v>11.77</v>
      </c>
      <c r="H21">
        <f>F21*E21*G21</f>
        <v/>
      </c>
    </row>
    <row r="22">
      <c r="A22" t="inlineStr">
        <is>
          <t>MTR-40437</t>
        </is>
      </c>
      <c r="B22" t="inlineStr">
        <is>
          <t>Atelier Noor</t>
        </is>
      </c>
      <c r="C22" t="inlineStr">
        <is>
          <t>Musc Blanc Eau de Parfum</t>
        </is>
      </c>
      <c r="D22" t="inlineStr">
        <is>
          <t>30 ml</t>
        </is>
      </c>
      <c r="E22" t="n">
        <v>12</v>
      </c>
      <c r="F22" t="n">
        <v>1</v>
      </c>
      <c r="G22" t="n">
        <v>47.54</v>
      </c>
      <c r="H22">
        <f>F22*E22*G22</f>
        <v/>
      </c>
    </row>
    <row r="23" hidden="1">
      <c r="A23" t="inlineStr">
        <is>
          <t>MTR-89395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123 Mint Chip</t>
        </is>
      </c>
      <c r="E23" t="n">
        <v>12</v>
      </c>
      <c r="F23" t="n">
        <v>4</v>
      </c>
      <c r="G23" t="n">
        <v>5.82</v>
      </c>
      <c r="H23">
        <f>F23*E23*G23</f>
        <v/>
      </c>
    </row>
    <row r="25">
      <c r="A25" t="inlineStr">
        <is>
          <t>MTR-50760</t>
        </is>
      </c>
      <c r="B25" t="inlineStr">
        <is>
          <t>Velour Cosmetics</t>
        </is>
      </c>
      <c r="C25" t="inlineStr">
        <is>
          <t>Brow Sculpt Pencil</t>
        </is>
      </c>
      <c r="D25" t="inlineStr">
        <is>
          <t>Soft Black</t>
        </is>
      </c>
      <c r="E25" t="n">
        <v>12</v>
      </c>
      <c r="F25" t="n">
        <v>2</v>
      </c>
      <c r="G25" t="n">
        <v>10.16</v>
      </c>
      <c r="H25">
        <f>F25*E25*G25</f>
        <v/>
      </c>
    </row>
    <row r="26" hidden="1">
      <c r="A26" t="inlineStr">
        <is>
          <t>MTR-71918</t>
        </is>
      </c>
      <c r="B26" t="inlineStr">
        <is>
          <t>Atelier Noor</t>
        </is>
      </c>
      <c r="C26" t="inlineStr">
        <is>
          <t>Oud Saffron Eau de Parfum</t>
        </is>
      </c>
      <c r="D26" t="inlineStr">
        <is>
          <t>50 ml</t>
        </is>
      </c>
      <c r="E26" t="n">
        <v>6</v>
      </c>
      <c r="F26" t="n">
        <v>1</v>
      </c>
      <c r="G26" t="n">
        <v>80.51000000000001</v>
      </c>
      <c r="H26">
        <f>F26*E26*G26</f>
        <v/>
      </c>
    </row>
    <row r="28">
      <c r="A28" t="inlineStr">
        <is>
          <t>MTR-61712</t>
        </is>
      </c>
      <c r="B28" t="inlineStr">
        <is>
          <t>Solenne Paris</t>
        </is>
      </c>
      <c r="C28" t="inlineStr">
        <is>
          <t>Crème Lumière Day Cream</t>
        </is>
      </c>
      <c r="D28" t="inlineStr">
        <is>
          <t>15 ml</t>
        </is>
      </c>
      <c r="E28" t="n">
        <v>6</v>
      </c>
      <c r="F28" t="n">
        <v>4</v>
      </c>
      <c r="G28" t="n">
        <v>26.02</v>
      </c>
      <c r="H28">
        <f>F28*E28*G28</f>
        <v/>
      </c>
    </row>
    <row r="29">
      <c r="A29" t="inlineStr">
        <is>
          <t>MTR-85088</t>
        </is>
      </c>
      <c r="B29" t="inlineStr">
        <is>
          <t>Velour Cosmetics</t>
        </is>
      </c>
      <c r="C29" t="inlineStr">
        <is>
          <t>Soft Focus Blush</t>
        </is>
      </c>
      <c r="D29" t="inlineStr">
        <is>
          <t>Rosewood</t>
        </is>
      </c>
      <c r="E29" t="n">
        <v>12</v>
      </c>
      <c r="F29" t="n">
        <v>2</v>
      </c>
      <c r="G29" t="n">
        <v>14.4</v>
      </c>
      <c r="H29">
        <f>F29*E29*G29</f>
        <v/>
      </c>
    </row>
    <row r="30">
      <c r="A30" t="inlineStr">
        <is>
          <t>MTR-24764</t>
        </is>
      </c>
      <c r="B30" t="inlineStr">
        <is>
          <t>Velour Cosmetics</t>
        </is>
      </c>
      <c r="C30" t="inlineStr">
        <is>
          <t>Satin Lip Colour</t>
        </is>
      </c>
      <c r="D30" t="inlineStr">
        <is>
          <t>25 Prune</t>
        </is>
      </c>
      <c r="E30" t="n">
        <v>12</v>
      </c>
      <c r="F30" t="n">
        <v>6</v>
      </c>
      <c r="G30" t="n">
        <v>12.12</v>
      </c>
      <c r="H30">
        <f>F30*E30*G30</f>
        <v/>
      </c>
    </row>
    <row r="31">
      <c r="A31" t="inlineStr">
        <is>
          <t>MTR-95679</t>
        </is>
      </c>
      <c r="B31" t="inlineStr">
        <is>
          <t>Velour Cosmetics</t>
        </is>
      </c>
      <c r="C31" t="inlineStr">
        <is>
          <t>Soft Focus Blush</t>
        </is>
      </c>
      <c r="D31" t="inlineStr">
        <is>
          <t>Mauve</t>
        </is>
      </c>
      <c r="E31" t="n">
        <v>12</v>
      </c>
      <c r="F31" t="n">
        <v>1</v>
      </c>
      <c r="G31" t="n">
        <v>13.74</v>
      </c>
      <c r="H31">
        <f>F31*E31*G31</f>
        <v/>
      </c>
    </row>
    <row r="32" hidden="1">
      <c r="A32" t="inlineStr">
        <is>
          <t>MTR-81781</t>
        </is>
      </c>
      <c r="B32" t="inlineStr">
        <is>
          <t>Lune Rouge</t>
        </is>
      </c>
      <c r="C32" t="inlineStr">
        <is>
          <t>Lash Lift Mascara</t>
        </is>
      </c>
      <c r="D32" t="inlineStr">
        <is>
          <t>Brown Black</t>
        </is>
      </c>
      <c r="E32" t="n">
        <v>12</v>
      </c>
      <c r="F32" t="n">
        <v>2</v>
      </c>
      <c r="G32" t="n">
        <v>10.16</v>
      </c>
      <c r="H32">
        <f>F32*E32*G32</f>
        <v/>
      </c>
    </row>
    <row r="34">
      <c r="A34" t="inlineStr">
        <is>
          <t>MTR-78111</t>
        </is>
      </c>
      <c r="B34" t="inlineStr"/>
      <c r="C34" t="inlineStr">
        <is>
          <t>Argan Miracle Oil</t>
        </is>
      </c>
      <c r="D34" t="inlineStr"/>
      <c r="E34" t="inlineStr"/>
      <c r="F34" t="n">
        <v>1</v>
      </c>
      <c r="G34" t="n">
        <v>58.37</v>
      </c>
      <c r="H34">
        <f>F34*G34</f>
        <v/>
      </c>
    </row>
    <row r="35">
      <c r="A35" t="inlineStr">
        <is>
          <t>MTR-20358</t>
        </is>
      </c>
      <c r="B35" t="inlineStr">
        <is>
          <t>Solenne Paris</t>
        </is>
      </c>
      <c r="C35" t="inlineStr">
        <is>
          <t>Baume Nuit Night Balm</t>
        </is>
      </c>
      <c r="D35" t="inlineStr">
        <is>
          <t>30 ml</t>
        </is>
      </c>
      <c r="E35" t="n">
        <v>6</v>
      </c>
      <c r="F35" t="n">
        <v>6</v>
      </c>
      <c r="G35" t="n">
        <v>39.46</v>
      </c>
      <c r="H35">
        <f>F35*E35*G35</f>
        <v/>
      </c>
    </row>
    <row r="36">
      <c r="A36" t="inlineStr">
        <is>
          <t>MTR-82135</t>
        </is>
      </c>
      <c r="B36" t="inlineStr">
        <is>
          <t>Atelier Noor</t>
        </is>
      </c>
      <c r="C36" t="inlineStr">
        <is>
          <t>Rose Ambrée Eau de Parfum</t>
        </is>
      </c>
      <c r="D36" t="inlineStr">
        <is>
          <t>30 ml</t>
        </is>
      </c>
      <c r="E36" t="n">
        <v>12</v>
      </c>
      <c r="F36" t="n">
        <v>1</v>
      </c>
      <c r="G36" t="n">
        <v>53.23</v>
      </c>
      <c r="H36">
        <f>F36*E36*G36</f>
        <v/>
      </c>
    </row>
    <row r="37">
      <c r="A37" t="inlineStr">
        <is>
          <t>MTR-49576</t>
        </is>
      </c>
      <c r="B37" t="inlineStr">
        <is>
          <t>Velour Cosmetics</t>
        </is>
      </c>
      <c r="C37" t="inlineStr">
        <is>
          <t>Soft Focus Blush</t>
        </is>
      </c>
      <c r="D37" t="inlineStr">
        <is>
          <t>Peach</t>
        </is>
      </c>
      <c r="E37" t="n">
        <v>12</v>
      </c>
      <c r="F37" t="n">
        <v>6</v>
      </c>
      <c r="G37" t="n">
        <v>13.17</v>
      </c>
      <c r="H37">
        <f>F37*E37*G37</f>
        <v/>
      </c>
    </row>
    <row r="38">
      <c r="A38" t="inlineStr">
        <is>
          <t>MTR-99167</t>
        </is>
      </c>
      <c r="B38" t="inlineStr">
        <is>
          <t>Lune Rouge</t>
        </is>
      </c>
      <c r="C38" t="inlineStr">
        <is>
          <t>Lip Gloss Mirror</t>
        </is>
      </c>
      <c r="D38" t="inlineStr">
        <is>
          <t>Clear</t>
        </is>
      </c>
      <c r="E38" t="n">
        <v>12</v>
      </c>
      <c r="F38" t="n">
        <v>6</v>
      </c>
      <c r="G38" t="n">
        <v>7.98</v>
      </c>
      <c r="H38">
        <f>F38*E38*G38</f>
        <v/>
      </c>
    </row>
    <row r="39">
      <c r="A39" t="inlineStr">
        <is>
          <t>MTR-29641</t>
        </is>
      </c>
      <c r="B39" t="inlineStr">
        <is>
          <t>Lune Rouge</t>
        </is>
      </c>
      <c r="C39" t="inlineStr">
        <is>
          <t>Glow Highlighter</t>
        </is>
      </c>
      <c r="D39" t="inlineStr">
        <is>
          <t>Champagne</t>
        </is>
      </c>
      <c r="E39" t="n">
        <v>12</v>
      </c>
      <c r="F39" t="n">
        <v>1</v>
      </c>
      <c r="G39" t="n">
        <v>11.25</v>
      </c>
      <c r="H39">
        <f>F39*E39*G39</f>
        <v/>
      </c>
    </row>
    <row r="40">
      <c r="A40" t="inlineStr">
        <is>
          <t>MTR-64172</t>
        </is>
      </c>
      <c r="B40" t="inlineStr">
        <is>
          <t>Atelier Noor</t>
        </is>
      </c>
      <c r="C40" t="inlineStr">
        <is>
          <t>Oud Saffron Eau de Parfum</t>
        </is>
      </c>
      <c r="D40" t="inlineStr">
        <is>
          <t>30 ml</t>
        </is>
      </c>
      <c r="E40" t="n">
        <v>12</v>
      </c>
      <c r="F40" t="n">
        <v>6</v>
      </c>
      <c r="G40" t="n">
        <v>59.38</v>
      </c>
      <c r="H40">
        <f>F40*E40*G40</f>
        <v/>
      </c>
    </row>
    <row r="41">
      <c r="A41" t="inlineStr">
        <is>
          <t>MTR-40972</t>
        </is>
      </c>
      <c r="B41" t="inlineStr">
        <is>
          <t>Velour Cosmetics</t>
        </is>
      </c>
      <c r="C41" t="inlineStr">
        <is>
          <t>Soft Focus Blush</t>
        </is>
      </c>
      <c r="D41" t="inlineStr">
        <is>
          <t>Apricot</t>
        </is>
      </c>
      <c r="E41" t="n">
        <v>12</v>
      </c>
      <c r="F41" t="n">
        <v>1</v>
      </c>
      <c r="G41" t="n">
        <v>14.21</v>
      </c>
      <c r="H41">
        <f>F41*E41*G41</f>
        <v/>
      </c>
    </row>
    <row r="42">
      <c r="A42" t="inlineStr">
        <is>
          <t>MTR-74738</t>
        </is>
      </c>
      <c r="B42" t="inlineStr">
        <is>
          <t>Velour Cosmetics</t>
        </is>
      </c>
      <c r="C42" t="inlineStr">
        <is>
          <t>Satin Lip Colour</t>
        </is>
      </c>
      <c r="D42" t="inlineStr">
        <is>
          <t>15 Cerise</t>
        </is>
      </c>
      <c r="E42" t="n">
        <v>12</v>
      </c>
      <c r="F42" t="n">
        <v>6</v>
      </c>
      <c r="G42" t="n">
        <v>12.98</v>
      </c>
      <c r="H42">
        <f>F42*E42*G42</f>
        <v/>
      </c>
    </row>
    <row r="43">
      <c r="A43" t="inlineStr">
        <is>
          <t>MTR-80453</t>
        </is>
      </c>
      <c r="B43" t="inlineStr">
        <is>
          <t>Lune Rouge</t>
        </is>
      </c>
      <c r="C43" t="inlineStr">
        <is>
          <t>Lacquer Nail Colour</t>
        </is>
      </c>
      <c r="D43" t="inlineStr">
        <is>
          <t>135 Lilac</t>
        </is>
      </c>
      <c r="E43" t="n">
        <v>12</v>
      </c>
      <c r="F43" t="n">
        <v>3</v>
      </c>
      <c r="G43" t="n">
        <v>6.11</v>
      </c>
      <c r="H43">
        <f>F43*E43*G43</f>
        <v/>
      </c>
    </row>
    <row r="44">
      <c r="A44" t="inlineStr">
        <is>
          <t>MTR-28430</t>
        </is>
      </c>
      <c r="B44" t="inlineStr">
        <is>
          <t>Velour Cosmetics</t>
        </is>
      </c>
      <c r="C44" t="inlineStr">
        <is>
          <t>Velvet Matte Foundation 30 ml</t>
        </is>
      </c>
      <c r="D44" t="inlineStr">
        <is>
          <t>5N Amber</t>
        </is>
      </c>
      <c r="E44" t="n">
        <v>12</v>
      </c>
      <c r="F44" t="n">
        <v>1</v>
      </c>
      <c r="G44" t="n">
        <v>17.14</v>
      </c>
      <c r="H44">
        <f>F44*E44*G44</f>
        <v/>
      </c>
    </row>
    <row r="45">
      <c r="A45" t="inlineStr">
        <is>
          <t>MTR-86434</t>
        </is>
      </c>
      <c r="B45" t="inlineStr">
        <is>
          <t>Lune Rouge</t>
        </is>
      </c>
      <c r="C45" t="inlineStr">
        <is>
          <t>Lip Gloss Mirror</t>
        </is>
      </c>
      <c r="D45" t="inlineStr">
        <is>
          <t>Pink Pearl</t>
        </is>
      </c>
      <c r="E45" t="n">
        <v>12</v>
      </c>
      <c r="F45" t="n">
        <v>2</v>
      </c>
      <c r="G45" t="n">
        <v>8.08</v>
      </c>
      <c r="H45">
        <f>F45*E45*G45</f>
        <v/>
      </c>
    </row>
    <row r="46" hidden="1">
      <c r="A46" t="inlineStr">
        <is>
          <t>MTR-67983</t>
        </is>
      </c>
      <c r="B46" t="inlineStr">
        <is>
          <t>Solenne Paris</t>
        </is>
      </c>
      <c r="C46" t="inlineStr">
        <is>
          <t>Baume Nuit Night Balm</t>
        </is>
      </c>
      <c r="D46" t="inlineStr">
        <is>
          <t>50 ml</t>
        </is>
      </c>
      <c r="E46" t="n">
        <v>6</v>
      </c>
      <c r="F46" t="n">
        <v>6</v>
      </c>
      <c r="G46" t="n">
        <v>56.98</v>
      </c>
      <c r="H46">
        <f>F46*E46*G46</f>
        <v/>
      </c>
    </row>
    <row r="49">
      <c r="A49" t="inlineStr"/>
      <c r="B49" t="inlineStr"/>
      <c r="C49" s="3" t="inlineStr">
        <is>
          <t>TOTAL</t>
        </is>
      </c>
      <c r="D49" t="inlineStr"/>
      <c r="E49" t="inlineStr"/>
      <c r="F49">
        <f>SUM(F10:F45)</f>
        <v/>
      </c>
      <c r="G49" t="inlineStr"/>
      <c r="H49">
        <f>SUM(H10:H45)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MTR-CDG-26-1960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MTR-20730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Black</t>
        </is>
      </c>
      <c r="E10" t="n">
        <v>12</v>
      </c>
      <c r="F10" t="n">
        <v>3</v>
      </c>
      <c r="G10" t="n">
        <v>7.85</v>
      </c>
      <c r="H10">
        <f>F10*E10*G10</f>
        <v/>
      </c>
    </row>
    <row r="11">
      <c r="A11" t="inlineStr">
        <is>
          <t>MTR-99167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Clear</t>
        </is>
      </c>
      <c r="E11" t="n">
        <v>12</v>
      </c>
      <c r="F11" t="n">
        <v>3</v>
      </c>
      <c r="G11" t="n">
        <v>7.54</v>
      </c>
      <c r="H11">
        <f>F11*E11*G11</f>
        <v/>
      </c>
    </row>
    <row r="12">
      <c r="A12" t="inlineStr">
        <is>
          <t>MTR-30934</t>
        </is>
      </c>
      <c r="B12" t="inlineStr">
        <is>
          <t>Velour Cosmetics</t>
        </is>
      </c>
      <c r="C12" t="inlineStr">
        <is>
          <t>Brow Sculpt Pencil</t>
        </is>
      </c>
      <c r="D12" t="inlineStr">
        <is>
          <t>Taupe</t>
        </is>
      </c>
      <c r="E12" t="n">
        <v>12</v>
      </c>
      <c r="F12" t="n">
        <v>4</v>
      </c>
      <c r="G12" t="n">
        <v>8.65</v>
      </c>
      <c r="H12">
        <f>F12*E12*G12</f>
        <v/>
      </c>
    </row>
    <row r="13">
      <c r="A13" t="inlineStr">
        <is>
          <t>MTR-85088</t>
        </is>
      </c>
      <c r="B13" t="inlineStr">
        <is>
          <t>Velour Cosmetics</t>
        </is>
      </c>
      <c r="C13" t="inlineStr">
        <is>
          <t>Soft Focus Blush</t>
        </is>
      </c>
      <c r="D13" t="inlineStr">
        <is>
          <t>Rosewood</t>
        </is>
      </c>
      <c r="E13" t="n">
        <v>12</v>
      </c>
      <c r="F13" t="n">
        <v>3</v>
      </c>
      <c r="G13" t="n">
        <v>13.28</v>
      </c>
      <c r="H13">
        <f>F13*E13*G13</f>
        <v/>
      </c>
    </row>
    <row r="14">
      <c r="A14" t="inlineStr">
        <is>
          <t>MTR-14686</t>
        </is>
      </c>
      <c r="B14" t="inlineStr"/>
      <c r="C14" t="inlineStr">
        <is>
          <t>Velvet Body Mist</t>
        </is>
      </c>
      <c r="D14" t="inlineStr"/>
      <c r="E14" t="inlineStr"/>
      <c r="F14" t="n">
        <v>1</v>
      </c>
      <c r="G14" t="n">
        <v>61.15</v>
      </c>
      <c r="H14">
        <f>F14*G14</f>
        <v/>
      </c>
    </row>
    <row r="15">
      <c r="A15" t="inlineStr">
        <is>
          <t>MTR-49576</t>
        </is>
      </c>
      <c r="B15" t="inlineStr">
        <is>
          <t>Velour Cosmetics</t>
        </is>
      </c>
      <c r="C15" t="inlineStr">
        <is>
          <t>Soft Focus Blush</t>
        </is>
      </c>
      <c r="D15" t="inlineStr">
        <is>
          <t>Peach</t>
        </is>
      </c>
      <c r="E15" t="n">
        <v>12</v>
      </c>
      <c r="F15" t="n">
        <v>6</v>
      </c>
      <c r="G15" t="n">
        <v>12.41</v>
      </c>
      <c r="H15">
        <f>F15*E15*G15</f>
        <v/>
      </c>
    </row>
    <row r="16">
      <c r="A16" t="inlineStr">
        <is>
          <t>MTR-35480</t>
        </is>
      </c>
      <c r="B16" t="inlineStr"/>
      <c r="C16" t="inlineStr">
        <is>
          <t>Advent Calendar 2026</t>
        </is>
      </c>
      <c r="D16" t="inlineStr"/>
      <c r="E16" t="inlineStr"/>
      <c r="F16" t="n">
        <v>1</v>
      </c>
      <c r="G16" t="n">
        <v>36.38</v>
      </c>
      <c r="H16">
        <f>F16*G16</f>
        <v/>
      </c>
    </row>
    <row r="17">
      <c r="A17" t="inlineStr">
        <is>
          <t>MTR-16653</t>
        </is>
      </c>
      <c r="B17" t="inlineStr">
        <is>
          <t>Solenne Paris</t>
        </is>
      </c>
      <c r="C17" t="inlineStr">
        <is>
          <t>Masque Éclat Radiance Mask</t>
        </is>
      </c>
      <c r="D17" t="inlineStr">
        <is>
          <t>75 ml</t>
        </is>
      </c>
      <c r="E17" t="n">
        <v>6</v>
      </c>
      <c r="F17" t="n">
        <v>6</v>
      </c>
      <c r="G17" t="n">
        <v>40.85</v>
      </c>
      <c r="H17">
        <f>F17*E17*G17</f>
        <v/>
      </c>
    </row>
    <row r="18">
      <c r="A18" t="inlineStr">
        <is>
          <t>MTR-76895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Bronze</t>
        </is>
      </c>
      <c r="E18" t="n">
        <v>12</v>
      </c>
      <c r="F18" t="n">
        <v>1</v>
      </c>
      <c r="G18" t="n">
        <v>7.28</v>
      </c>
      <c r="H18">
        <f>F18*E18*G18</f>
        <v/>
      </c>
    </row>
    <row r="19">
      <c r="A19" t="inlineStr">
        <is>
          <t>MTR-53914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08 Terracotta</t>
        </is>
      </c>
      <c r="E19" t="n">
        <v>12</v>
      </c>
      <c r="F19" t="n">
        <v>1</v>
      </c>
      <c r="G19" t="n">
        <v>11.75</v>
      </c>
      <c r="H19">
        <f>F19*E19*G19</f>
        <v/>
      </c>
    </row>
    <row r="20">
      <c r="A20" t="inlineStr">
        <is>
          <t>MTR-42512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5W Toffee</t>
        </is>
      </c>
      <c r="E20" t="n">
        <v>12</v>
      </c>
      <c r="F20" t="n">
        <v>3</v>
      </c>
      <c r="G20" t="n">
        <v>16.61</v>
      </c>
      <c r="H20">
        <f>F20*E20*G20</f>
        <v/>
      </c>
    </row>
    <row r="21">
      <c r="A21" t="inlineStr">
        <is>
          <t>MTR-78202</t>
        </is>
      </c>
      <c r="B21" t="inlineStr">
        <is>
          <t>Lune Rouge</t>
        </is>
      </c>
      <c r="C21" t="inlineStr">
        <is>
          <t>Glow Highlighter</t>
        </is>
      </c>
      <c r="D21" t="inlineStr">
        <is>
          <t>Rose Gold</t>
        </is>
      </c>
      <c r="E21" t="n">
        <v>12</v>
      </c>
      <c r="F21" t="n">
        <v>1</v>
      </c>
      <c r="G21" t="n">
        <v>9.789999999999999</v>
      </c>
      <c r="H21">
        <f>F21*E21*G21</f>
        <v/>
      </c>
    </row>
    <row r="22">
      <c r="A22" t="inlineStr">
        <is>
          <t>MTR-29198</t>
        </is>
      </c>
      <c r="B22" t="inlineStr">
        <is>
          <t>Solenne Paris</t>
        </is>
      </c>
      <c r="C22" t="inlineStr">
        <is>
          <t>Crème Lumière Day Cream</t>
        </is>
      </c>
      <c r="D22" t="inlineStr">
        <is>
          <t>30 ml</t>
        </is>
      </c>
      <c r="E22" t="n">
        <v>6</v>
      </c>
      <c r="F22" t="n">
        <v>2</v>
      </c>
      <c r="G22" t="n">
        <v>36.22</v>
      </c>
      <c r="H22">
        <f>F22*E22*G22</f>
        <v/>
      </c>
    </row>
    <row r="23">
      <c r="A23" t="inlineStr">
        <is>
          <t>MTR-21368</t>
        </is>
      </c>
      <c r="B23" t="inlineStr">
        <is>
          <t>Velour Cosmetics</t>
        </is>
      </c>
      <c r="C23" t="inlineStr">
        <is>
          <t>Velvet Matte Foundation 30 ml</t>
        </is>
      </c>
      <c r="D23" t="inlineStr">
        <is>
          <t>4N Honey</t>
        </is>
      </c>
      <c r="E23" t="n">
        <v>12</v>
      </c>
      <c r="F23" t="n">
        <v>4</v>
      </c>
      <c r="G23" t="n">
        <v>15.75</v>
      </c>
      <c r="H23">
        <f>F23*E23*G23</f>
        <v/>
      </c>
    </row>
    <row r="24">
      <c r="A24" t="inlineStr">
        <is>
          <t>MTR-20358</t>
        </is>
      </c>
      <c r="B24" t="inlineStr">
        <is>
          <t>Solenne Paris</t>
        </is>
      </c>
      <c r="C24" t="inlineStr">
        <is>
          <t>Baume Nuit Night Balm</t>
        </is>
      </c>
      <c r="D24" t="inlineStr">
        <is>
          <t>30 ml</t>
        </is>
      </c>
      <c r="E24" t="n">
        <v>6</v>
      </c>
      <c r="F24" t="n">
        <v>3</v>
      </c>
      <c r="G24" t="n">
        <v>36.02</v>
      </c>
      <c r="H24">
        <f>F24*E24*G24</f>
        <v/>
      </c>
    </row>
    <row r="25">
      <c r="A25" t="inlineStr">
        <is>
          <t>MTR-25495</t>
        </is>
      </c>
      <c r="B25" t="inlineStr">
        <is>
          <t>Velour Cosmetics</t>
        </is>
      </c>
      <c r="C25" t="inlineStr">
        <is>
          <t>Brow Sculpt Pencil</t>
        </is>
      </c>
      <c r="D25" t="inlineStr">
        <is>
          <t>Blonde</t>
        </is>
      </c>
      <c r="E25" t="n">
        <v>12</v>
      </c>
      <c r="F25" t="n">
        <v>1</v>
      </c>
      <c r="G25" t="n">
        <v>9.130000000000001</v>
      </c>
      <c r="H25">
        <f>F25*E25*G25</f>
        <v/>
      </c>
    </row>
    <row r="26">
      <c r="A26" t="inlineStr">
        <is>
          <t>MTR-11214</t>
        </is>
      </c>
      <c r="B26" t="inlineStr">
        <is>
          <t>Velour Cosmetics</t>
        </is>
      </c>
      <c r="C26" t="inlineStr">
        <is>
          <t>Satin Lip Colour</t>
        </is>
      </c>
      <c r="D26" t="inlineStr">
        <is>
          <t>03 Petal</t>
        </is>
      </c>
      <c r="E26" t="n">
        <v>12</v>
      </c>
      <c r="F26" t="n">
        <v>3</v>
      </c>
      <c r="G26" t="n">
        <v>10.84</v>
      </c>
      <c r="H26">
        <f>F26*E26*G26</f>
        <v/>
      </c>
    </row>
    <row r="27">
      <c r="A27" t="inlineStr">
        <is>
          <t>MTR-60275</t>
        </is>
      </c>
      <c r="B27" t="inlineStr">
        <is>
          <t>Velour Cosmetics</t>
        </is>
      </c>
      <c r="C27" t="inlineStr">
        <is>
          <t>Velvet Matte Foundation 30 ml</t>
        </is>
      </c>
      <c r="D27" t="inlineStr">
        <is>
          <t>6N Espresso</t>
        </is>
      </c>
      <c r="E27" t="n">
        <v>12</v>
      </c>
      <c r="F27" t="n">
        <v>4</v>
      </c>
      <c r="G27" t="n">
        <v>15.74</v>
      </c>
      <c r="H27">
        <f>F27*E27*G27</f>
        <v/>
      </c>
    </row>
    <row r="28">
      <c r="A28" t="inlineStr">
        <is>
          <t>MTR-72793</t>
        </is>
      </c>
      <c r="B28" t="inlineStr">
        <is>
          <t>Solenne Paris</t>
        </is>
      </c>
      <c r="C28" t="inlineStr">
        <is>
          <t>Eau Micellaire Cleansing Water</t>
        </is>
      </c>
      <c r="D28" t="inlineStr">
        <is>
          <t>200 ml</t>
        </is>
      </c>
      <c r="E28" t="n">
        <v>6</v>
      </c>
      <c r="F28" t="n">
        <v>1</v>
      </c>
      <c r="G28" t="n">
        <v>39.64</v>
      </c>
      <c r="H28">
        <f>F28*E28*G28</f>
        <v/>
      </c>
    </row>
    <row r="29">
      <c r="A29" t="inlineStr">
        <is>
          <t>MTR-82135</t>
        </is>
      </c>
      <c r="B29" t="inlineStr">
        <is>
          <t>Atelier Noor</t>
        </is>
      </c>
      <c r="C29" t="inlineStr">
        <is>
          <t>Rose Ambrée Eau de Parfum</t>
        </is>
      </c>
      <c r="D29" t="inlineStr">
        <is>
          <t>30 ml</t>
        </is>
      </c>
      <c r="E29" t="n">
        <v>12</v>
      </c>
      <c r="F29" t="n">
        <v>2</v>
      </c>
      <c r="G29" t="n">
        <v>49.26</v>
      </c>
      <c r="H29">
        <f>F29*E29*G29</f>
        <v/>
      </c>
    </row>
    <row r="30">
      <c r="A30" t="inlineStr">
        <is>
          <t>MTR-48671</t>
        </is>
      </c>
      <c r="B30" t="inlineStr">
        <is>
          <t>Lune Rouge</t>
        </is>
      </c>
      <c r="C30" t="inlineStr">
        <is>
          <t>Lacquer Nail Colour</t>
        </is>
      </c>
      <c r="D30" t="inlineStr">
        <is>
          <t>104 Cherry Gloss</t>
        </is>
      </c>
      <c r="E30" t="n">
        <v>12</v>
      </c>
      <c r="F30" t="n">
        <v>6</v>
      </c>
      <c r="G30" t="n">
        <v>5.36</v>
      </c>
      <c r="H30">
        <f>F30*E30*G30</f>
        <v/>
      </c>
    </row>
    <row r="31">
      <c r="A31" t="inlineStr">
        <is>
          <t>MTR-74738</t>
        </is>
      </c>
      <c r="B31" t="inlineStr">
        <is>
          <t>Velour Cosmetics</t>
        </is>
      </c>
      <c r="C31" t="inlineStr">
        <is>
          <t>Satin Lip Colour</t>
        </is>
      </c>
      <c r="D31" t="inlineStr">
        <is>
          <t>15 Cerise</t>
        </is>
      </c>
      <c r="E31" t="n">
        <v>12</v>
      </c>
      <c r="F31" t="n">
        <v>1</v>
      </c>
      <c r="G31" t="n">
        <v>11.96</v>
      </c>
      <c r="H31">
        <f>F31*E31*G31</f>
        <v/>
      </c>
    </row>
    <row r="32">
      <c r="A32" t="inlineStr">
        <is>
          <t>MTR-36497</t>
        </is>
      </c>
      <c r="B32" t="inlineStr">
        <is>
          <t>Lune Rouge</t>
        </is>
      </c>
      <c r="C32" t="inlineStr">
        <is>
          <t>Glow Highlighter</t>
        </is>
      </c>
      <c r="D32" t="inlineStr">
        <is>
          <t>Moonstone</t>
        </is>
      </c>
      <c r="E32" t="n">
        <v>12</v>
      </c>
      <c r="F32" t="n">
        <v>1</v>
      </c>
      <c r="G32" t="n">
        <v>9.789999999999999</v>
      </c>
      <c r="H32">
        <f>F32*E32*G32</f>
        <v/>
      </c>
    </row>
    <row r="33">
      <c r="A33" t="inlineStr">
        <is>
          <t>MTR-89395</t>
        </is>
      </c>
      <c r="B33" t="inlineStr">
        <is>
          <t>Lune Rouge</t>
        </is>
      </c>
      <c r="C33" t="inlineStr">
        <is>
          <t>Lacquer Nail Colour</t>
        </is>
      </c>
      <c r="D33" t="inlineStr">
        <is>
          <t>123 Mint Chip</t>
        </is>
      </c>
      <c r="E33" t="n">
        <v>12</v>
      </c>
      <c r="F33" t="n">
        <v>6</v>
      </c>
      <c r="G33" t="n">
        <v>5.52</v>
      </c>
      <c r="H33">
        <f>F33*E33*G33</f>
        <v/>
      </c>
    </row>
    <row r="34">
      <c r="A34" t="inlineStr">
        <is>
          <t>MTR-34420</t>
        </is>
      </c>
      <c r="B34" t="inlineStr">
        <is>
          <t>Atelier Noor</t>
        </is>
      </c>
      <c r="C34" t="inlineStr">
        <is>
          <t>Iris Poudré Eau de Parfum</t>
        </is>
      </c>
      <c r="D34" t="inlineStr">
        <is>
          <t>100 ml</t>
        </is>
      </c>
      <c r="E34" t="n">
        <v>6</v>
      </c>
      <c r="F34" t="n">
        <v>4</v>
      </c>
      <c r="G34" t="n">
        <v>96.41</v>
      </c>
      <c r="H34">
        <f>F34*E34*G34</f>
        <v/>
      </c>
    </row>
    <row r="35">
      <c r="A35" t="inlineStr">
        <is>
          <t>MTR-79604</t>
        </is>
      </c>
      <c r="B35" t="inlineStr">
        <is>
          <t>Solenne Paris</t>
        </is>
      </c>
      <c r="C35" t="inlineStr">
        <is>
          <t>Lotion Essentielle Toner</t>
        </is>
      </c>
      <c r="D35" t="inlineStr">
        <is>
          <t>150 ml</t>
        </is>
      </c>
      <c r="E35" t="n">
        <v>6</v>
      </c>
      <c r="F35" t="n">
        <v>1</v>
      </c>
      <c r="G35" t="n">
        <v>47.1</v>
      </c>
      <c r="H35">
        <f>F35*E35*G35</f>
        <v/>
      </c>
    </row>
    <row r="36">
      <c r="A36" t="inlineStr">
        <is>
          <t>MTR-85166</t>
        </is>
      </c>
      <c r="B36" t="inlineStr">
        <is>
          <t>Solenne Paris</t>
        </is>
      </c>
      <c r="C36" t="inlineStr">
        <is>
          <t>Sérum Absolu Regenerating Serum</t>
        </is>
      </c>
      <c r="D36" t="inlineStr">
        <is>
          <t>30 ml</t>
        </is>
      </c>
      <c r="E36" t="n">
        <v>6</v>
      </c>
      <c r="F36" t="n">
        <v>4</v>
      </c>
      <c r="G36" t="n">
        <v>38.55</v>
      </c>
      <c r="H36">
        <f>F36*E36*G36</f>
        <v/>
      </c>
    </row>
    <row r="37">
      <c r="A37" t="inlineStr">
        <is>
          <t>MTR-86434</t>
        </is>
      </c>
      <c r="B37" t="inlineStr">
        <is>
          <t>Lune Rouge</t>
        </is>
      </c>
      <c r="C37" t="inlineStr">
        <is>
          <t>Lip Gloss Mirror</t>
        </is>
      </c>
      <c r="D37" t="inlineStr">
        <is>
          <t>Pink Pearl</t>
        </is>
      </c>
      <c r="E37" t="n">
        <v>12</v>
      </c>
      <c r="F37" t="n">
        <v>1</v>
      </c>
      <c r="G37" t="n">
        <v>7.26</v>
      </c>
      <c r="H37">
        <f>F37*E37*G37</f>
        <v/>
      </c>
    </row>
    <row r="38">
      <c r="A38" t="inlineStr">
        <is>
          <t>MTR-70150</t>
        </is>
      </c>
      <c r="B38" t="inlineStr">
        <is>
          <t>Velour Cosmetics</t>
        </is>
      </c>
      <c r="C38" t="inlineStr">
        <is>
          <t>Satin Lip Colour</t>
        </is>
      </c>
      <c r="D38" t="inlineStr">
        <is>
          <t>30 Fuchsia</t>
        </is>
      </c>
      <c r="E38" t="n">
        <v>12</v>
      </c>
      <c r="F38" t="n">
        <v>1</v>
      </c>
      <c r="G38" t="n">
        <v>11.74</v>
      </c>
      <c r="H38">
        <f>F38*E38*G38</f>
        <v/>
      </c>
    </row>
    <row r="39">
      <c r="A39" t="inlineStr">
        <is>
          <t>MTR-66059</t>
        </is>
      </c>
      <c r="B39" t="inlineStr">
        <is>
          <t>Velour Cosmetics</t>
        </is>
      </c>
      <c r="C39" t="inlineStr">
        <is>
          <t>Velvet Matte Foundation 30 ml</t>
        </is>
      </c>
      <c r="D39" t="inlineStr">
        <is>
          <t>3W Golden</t>
        </is>
      </c>
      <c r="E39" t="n">
        <v>12</v>
      </c>
      <c r="F39" t="n">
        <v>2</v>
      </c>
      <c r="G39" t="n">
        <v>17.52</v>
      </c>
      <c r="H39">
        <f>F39*E39*G39</f>
        <v/>
      </c>
    </row>
    <row r="40">
      <c r="A40" t="inlineStr">
        <is>
          <t>MTR-62034</t>
        </is>
      </c>
      <c r="B40" t="inlineStr">
        <is>
          <t>Atelier Noor</t>
        </is>
      </c>
      <c r="C40" t="inlineStr">
        <is>
          <t>Iris Poudré Eau de Parfum</t>
        </is>
      </c>
      <c r="D40" t="inlineStr">
        <is>
          <t>50 ml</t>
        </is>
      </c>
      <c r="E40" t="n">
        <v>6</v>
      </c>
      <c r="F40" t="n">
        <v>1</v>
      </c>
      <c r="G40" t="n">
        <v>61.92</v>
      </c>
      <c r="H40">
        <f>F40*E40*G40</f>
        <v/>
      </c>
    </row>
    <row r="41">
      <c r="A41" t="inlineStr">
        <is>
          <t>MTR-69634</t>
        </is>
      </c>
      <c r="B41" t="inlineStr">
        <is>
          <t>Lune Rouge</t>
        </is>
      </c>
      <c r="C41" t="inlineStr">
        <is>
          <t>Lacquer Nail Colour</t>
        </is>
      </c>
      <c r="D41" t="inlineStr">
        <is>
          <t>120 Midnight</t>
        </is>
      </c>
      <c r="E41" t="n">
        <v>12</v>
      </c>
      <c r="F41" t="n">
        <v>2</v>
      </c>
      <c r="G41" t="n">
        <v>5.77</v>
      </c>
      <c r="H41">
        <f>F41*E41*G41</f>
        <v/>
      </c>
    </row>
    <row r="42">
      <c r="A42" t="inlineStr">
        <is>
          <t>MTR-47941</t>
        </is>
      </c>
      <c r="B42" t="inlineStr">
        <is>
          <t>Velour Cosmetics</t>
        </is>
      </c>
      <c r="C42" t="inlineStr">
        <is>
          <t>Satin Lip Colour</t>
        </is>
      </c>
      <c r="D42" t="inlineStr">
        <is>
          <t>01 Nude Silk</t>
        </is>
      </c>
      <c r="E42" t="n">
        <v>12</v>
      </c>
      <c r="F42" t="n">
        <v>1</v>
      </c>
      <c r="G42" t="n">
        <v>10.91</v>
      </c>
      <c r="H42">
        <f>F42*E42*G42</f>
        <v/>
      </c>
    </row>
    <row r="43">
      <c r="A43" t="inlineStr">
        <is>
          <t>MTR-93717</t>
        </is>
      </c>
      <c r="B43" t="inlineStr">
        <is>
          <t>Lune Rouge</t>
        </is>
      </c>
      <c r="C43" t="inlineStr">
        <is>
          <t>Lacquer Nail Colour</t>
        </is>
      </c>
      <c r="D43" t="inlineStr">
        <is>
          <t>101 Opera</t>
        </is>
      </c>
      <c r="E43" t="n">
        <v>12</v>
      </c>
      <c r="F43" t="n">
        <v>3</v>
      </c>
      <c r="G43" t="n">
        <v>5.48</v>
      </c>
      <c r="H43">
        <f>F43*E43*G43</f>
        <v/>
      </c>
    </row>
    <row r="44">
      <c r="A44" t="inlineStr">
        <is>
          <t>MTR-91667</t>
        </is>
      </c>
      <c r="B44" t="inlineStr"/>
      <c r="C44" t="inlineStr">
        <is>
          <t>Mini Lip Trio Gift</t>
        </is>
      </c>
      <c r="D44" t="inlineStr"/>
      <c r="E44" t="inlineStr"/>
      <c r="F44" t="n">
        <v>2</v>
      </c>
      <c r="G44" t="n">
        <v>43.91</v>
      </c>
      <c r="H44">
        <f>F44*G44</f>
        <v/>
      </c>
    </row>
    <row r="45">
      <c r="A45" t="inlineStr">
        <is>
          <t>MTR-14763</t>
        </is>
      </c>
      <c r="B45" t="inlineStr">
        <is>
          <t>Atelier Noor</t>
        </is>
      </c>
      <c r="C45" t="inlineStr">
        <is>
          <t>Cuir Fumé Extrait de Parfum</t>
        </is>
      </c>
      <c r="D45" t="inlineStr">
        <is>
          <t>100 ml</t>
        </is>
      </c>
      <c r="E45" t="n">
        <v>6</v>
      </c>
      <c r="F45" t="n">
        <v>1</v>
      </c>
      <c r="G45" t="n">
        <v>130.37</v>
      </c>
      <c r="H45">
        <f>F45*E45*G45</f>
        <v/>
      </c>
    </row>
    <row r="46">
      <c r="A46" t="inlineStr">
        <is>
          <t>MTR-32946</t>
        </is>
      </c>
      <c r="B46" t="inlineStr">
        <is>
          <t>Atelier Noor</t>
        </is>
      </c>
      <c r="C46" t="inlineStr">
        <is>
          <t>Musc Blanc Eau de Parfum</t>
        </is>
      </c>
      <c r="D46" t="inlineStr">
        <is>
          <t>100 ml</t>
        </is>
      </c>
      <c r="E46" t="n">
        <v>6</v>
      </c>
      <c r="F46" t="n">
        <v>4</v>
      </c>
      <c r="G46" t="n">
        <v>87.42</v>
      </c>
      <c r="H46">
        <f>F46*E46*G46</f>
        <v/>
      </c>
    </row>
    <row r="47">
      <c r="A47" t="inlineStr">
        <is>
          <t>MTR-79228</t>
        </is>
      </c>
      <c r="B47" t="inlineStr">
        <is>
          <t>Lune Rouge</t>
        </is>
      </c>
      <c r="C47" t="inlineStr">
        <is>
          <t>Precision Liquid Eyeliner</t>
        </is>
      </c>
      <c r="D47" t="inlineStr">
        <is>
          <t>Brown</t>
        </is>
      </c>
      <c r="E47" t="n">
        <v>12</v>
      </c>
      <c r="F47" t="n">
        <v>2</v>
      </c>
      <c r="G47" t="n">
        <v>8.59</v>
      </c>
      <c r="H47">
        <f>F47*E47*G47</f>
        <v/>
      </c>
    </row>
    <row r="48">
      <c r="A48" t="inlineStr">
        <is>
          <t>MTR-20237</t>
        </is>
      </c>
      <c r="B48" t="inlineStr">
        <is>
          <t>Lune Rouge</t>
        </is>
      </c>
      <c r="C48" t="inlineStr">
        <is>
          <t>Precision Liquid Eyeliner</t>
        </is>
      </c>
      <c r="D48" t="inlineStr">
        <is>
          <t>Navy</t>
        </is>
      </c>
      <c r="E48" t="n">
        <v>12</v>
      </c>
      <c r="F48" t="n">
        <v>1</v>
      </c>
      <c r="G48" t="n">
        <v>8.029999999999999</v>
      </c>
      <c r="H48">
        <f>F48*E48*G48</f>
        <v/>
      </c>
    </row>
    <row r="50">
      <c r="A50" t="inlineStr"/>
      <c r="B50" t="inlineStr"/>
      <c r="C50" s="3" t="inlineStr">
        <is>
          <t>TOTAL</t>
        </is>
      </c>
      <c r="D50" t="inlineStr"/>
      <c r="E50" t="inlineStr"/>
      <c r="F50">
        <f>SUM(F10:F47)</f>
        <v/>
      </c>
      <c r="G50" t="inlineStr"/>
      <c r="H50">
        <f>SUM(H10:H47)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MTR-JFK-26-8671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21-Oct-2026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MTR-36497</t>
        </is>
      </c>
      <c r="B10" t="inlineStr">
        <is>
          <t>Lune Rouge</t>
        </is>
      </c>
      <c r="C10" t="inlineStr">
        <is>
          <t>Glow Highlighter</t>
        </is>
      </c>
      <c r="D10" t="inlineStr">
        <is>
          <t>Moonstone</t>
        </is>
      </c>
      <c r="E10" t="n">
        <v>12</v>
      </c>
      <c r="F10" t="n">
        <v>3</v>
      </c>
      <c r="G10" t="n">
        <v>10.69</v>
      </c>
      <c r="H10">
        <f>F10*E10*G10</f>
        <v/>
      </c>
    </row>
    <row r="11">
      <c r="A11" t="inlineStr">
        <is>
          <t>MTR-11214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03 Petal</t>
        </is>
      </c>
      <c r="E11" t="n">
        <v>12</v>
      </c>
      <c r="F11" t="n">
        <v>4</v>
      </c>
      <c r="G11" t="n">
        <v>12</v>
      </c>
      <c r="H11">
        <f>F11*E11*G11</f>
        <v/>
      </c>
    </row>
    <row r="12">
      <c r="A12" t="inlineStr">
        <is>
          <t>MTR-20237</t>
        </is>
      </c>
      <c r="B12" t="inlineStr">
        <is>
          <t>Lune Rouge</t>
        </is>
      </c>
      <c r="C12" t="inlineStr">
        <is>
          <t>Precision Liquid Eyeliner</t>
        </is>
      </c>
      <c r="D12" t="inlineStr">
        <is>
          <t>Navy</t>
        </is>
      </c>
      <c r="E12" t="n">
        <v>12</v>
      </c>
      <c r="F12" t="n">
        <v>3</v>
      </c>
      <c r="G12" t="n">
        <v>8.869999999999999</v>
      </c>
      <c r="H12">
        <f>F12*E12*G12</f>
        <v/>
      </c>
    </row>
    <row r="13">
      <c r="A13" t="inlineStr">
        <is>
          <t>MTR-54185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1W Ivory</t>
        </is>
      </c>
      <c r="E13" t="n">
        <v>12</v>
      </c>
      <c r="F13" t="n">
        <v>1</v>
      </c>
      <c r="G13" t="n">
        <v>16.7</v>
      </c>
      <c r="H13">
        <f>F13*E13*G13</f>
        <v/>
      </c>
    </row>
    <row r="14">
      <c r="A14" t="inlineStr">
        <is>
          <t>MTR-48671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104 Cherry Gloss</t>
        </is>
      </c>
      <c r="E14" t="n">
        <v>12</v>
      </c>
      <c r="F14" t="n">
        <v>2</v>
      </c>
      <c r="G14" t="n">
        <v>5.75</v>
      </c>
      <c r="H14">
        <f>F14*E14*G14</f>
        <v/>
      </c>
    </row>
    <row r="15">
      <c r="A15" t="inlineStr">
        <is>
          <t>MTR-14888</t>
        </is>
      </c>
      <c r="B15" t="inlineStr">
        <is>
          <t>Atelier Noor</t>
        </is>
      </c>
      <c r="C15" t="inlineStr">
        <is>
          <t>Musc Blanc Eau de Parfum</t>
        </is>
      </c>
      <c r="D15" t="inlineStr">
        <is>
          <t>50 ml</t>
        </is>
      </c>
      <c r="E15" t="n">
        <v>6</v>
      </c>
      <c r="F15" t="n">
        <v>2</v>
      </c>
      <c r="G15" t="n">
        <v>63.05</v>
      </c>
      <c r="H15">
        <f>F15*E15*G15</f>
        <v/>
      </c>
    </row>
    <row r="16">
      <c r="A16" t="inlineStr">
        <is>
          <t>MTR-47649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100 ml</t>
        </is>
      </c>
      <c r="E16" t="n">
        <v>6</v>
      </c>
      <c r="F16" t="n">
        <v>6</v>
      </c>
      <c r="G16" t="n">
        <v>87.52</v>
      </c>
      <c r="H16">
        <f>F16*E16*G16</f>
        <v/>
      </c>
    </row>
    <row r="17">
      <c r="A17" t="inlineStr">
        <is>
          <t>MTR-35318</t>
        </is>
      </c>
      <c r="B17" t="inlineStr">
        <is>
          <t>Velour Cosmetics</t>
        </is>
      </c>
      <c r="C17" t="inlineStr">
        <is>
          <t>Velvet Matte Foundation 30 ml</t>
        </is>
      </c>
      <c r="D17" t="inlineStr">
        <is>
          <t>2W Sand</t>
        </is>
      </c>
      <c r="E17" t="n">
        <v>12</v>
      </c>
      <c r="F17" t="n">
        <v>1</v>
      </c>
      <c r="G17" t="n">
        <v>17.19</v>
      </c>
      <c r="H17">
        <f>F17*E17*G17</f>
        <v/>
      </c>
    </row>
    <row r="18">
      <c r="A18" t="inlineStr">
        <is>
          <t>MTR-80592</t>
        </is>
      </c>
      <c r="B18" t="inlineStr">
        <is>
          <t>Solenne Paris</t>
        </is>
      </c>
      <c r="C18" t="inlineStr">
        <is>
          <t>Eau Micellaire Cleansing Water</t>
        </is>
      </c>
      <c r="D18" t="inlineStr">
        <is>
          <t>400 ml</t>
        </is>
      </c>
      <c r="E18" t="n">
        <v>6</v>
      </c>
      <c r="F18" t="n">
        <v>1</v>
      </c>
      <c r="G18" t="n">
        <v>55.53</v>
      </c>
      <c r="H18">
        <f>F18*E18*G18</f>
        <v/>
      </c>
    </row>
    <row r="19">
      <c r="A19" t="inlineStr">
        <is>
          <t>MTR-20730</t>
        </is>
      </c>
      <c r="B19" t="inlineStr">
        <is>
          <t>Lune Rouge</t>
        </is>
      </c>
      <c r="C19" t="inlineStr">
        <is>
          <t>Precision Liquid Eyeliner</t>
        </is>
      </c>
      <c r="D19" t="inlineStr">
        <is>
          <t>Black</t>
        </is>
      </c>
      <c r="E19" t="n">
        <v>12</v>
      </c>
      <c r="F19" t="n">
        <v>1</v>
      </c>
      <c r="G19" t="n">
        <v>8.68</v>
      </c>
      <c r="H19">
        <f>F19*E19*G19</f>
        <v/>
      </c>
    </row>
    <row r="20">
      <c r="A20" t="inlineStr">
        <is>
          <t>MTR-29198</t>
        </is>
      </c>
      <c r="B20" t="inlineStr">
        <is>
          <t>Solenne Paris</t>
        </is>
      </c>
      <c r="C20" t="inlineStr">
        <is>
          <t>Crème Lumière Day Cream</t>
        </is>
      </c>
      <c r="D20" t="inlineStr">
        <is>
          <t>30 ml</t>
        </is>
      </c>
      <c r="E20" t="n">
        <v>6</v>
      </c>
      <c r="F20" t="n">
        <v>1</v>
      </c>
      <c r="G20" t="n">
        <v>38.84</v>
      </c>
      <c r="H20">
        <f>F20*E20*G20</f>
        <v/>
      </c>
    </row>
    <row r="21">
      <c r="A21" t="inlineStr">
        <is>
          <t>MTR-83664</t>
        </is>
      </c>
      <c r="B21" t="inlineStr">
        <is>
          <t>Solenne Paris</t>
        </is>
      </c>
      <c r="C21" t="inlineStr">
        <is>
          <t>Contour des Yeux Eye Cream</t>
        </is>
      </c>
      <c r="D21" t="inlineStr">
        <is>
          <t>15 ml</t>
        </is>
      </c>
      <c r="E21" t="n">
        <v>6</v>
      </c>
      <c r="F21" t="n">
        <v>1</v>
      </c>
      <c r="G21" t="n">
        <v>22.21</v>
      </c>
      <c r="H21">
        <f>F21*E21*G21</f>
        <v/>
      </c>
    </row>
    <row r="22">
      <c r="A22" t="inlineStr">
        <is>
          <t>MTR-85166</t>
        </is>
      </c>
      <c r="B22" t="inlineStr">
        <is>
          <t>Solenne Paris</t>
        </is>
      </c>
      <c r="C22" t="inlineStr">
        <is>
          <t>Sérum Absolu Regenerating Serum</t>
        </is>
      </c>
      <c r="D22" t="inlineStr">
        <is>
          <t>30 ml</t>
        </is>
      </c>
      <c r="E22" t="n">
        <v>6</v>
      </c>
      <c r="F22" t="n">
        <v>3</v>
      </c>
      <c r="G22" t="n">
        <v>42.51</v>
      </c>
      <c r="H22">
        <f>F22*E22*G22</f>
        <v/>
      </c>
    </row>
    <row r="23">
      <c r="A23" t="inlineStr">
        <is>
          <t>MTR-71918</t>
        </is>
      </c>
      <c r="B23" t="inlineStr">
        <is>
          <t>Atelier Noor</t>
        </is>
      </c>
      <c r="C23" t="inlineStr">
        <is>
          <t>Oud Saffron Eau de Parfum</t>
        </is>
      </c>
      <c r="D23" t="inlineStr">
        <is>
          <t>50 ml</t>
        </is>
      </c>
      <c r="E23" t="n">
        <v>6</v>
      </c>
      <c r="F23" t="n">
        <v>2</v>
      </c>
      <c r="G23" t="n">
        <v>80.51000000000001</v>
      </c>
      <c r="H23">
        <f>F23*E23*G23</f>
        <v/>
      </c>
    </row>
    <row r="24">
      <c r="A24" t="inlineStr">
        <is>
          <t>MTR-28430</t>
        </is>
      </c>
      <c r="B24" t="inlineStr">
        <is>
          <t>Velour Cosmetics</t>
        </is>
      </c>
      <c r="C24" t="inlineStr">
        <is>
          <t>Velvet Matte Foundation 30 ml</t>
        </is>
      </c>
      <c r="D24" t="inlineStr">
        <is>
          <t>5N Amber</t>
        </is>
      </c>
      <c r="E24" t="n">
        <v>12</v>
      </c>
      <c r="F24" t="n">
        <v>2</v>
      </c>
      <c r="G24" t="n">
        <v>17.14</v>
      </c>
      <c r="H24">
        <f>F24*E24*G24</f>
        <v/>
      </c>
    </row>
    <row r="25">
      <c r="A25" t="inlineStr">
        <is>
          <t>MTR-65091</t>
        </is>
      </c>
      <c r="B25" t="inlineStr"/>
      <c r="C25" t="inlineStr">
        <is>
          <t>Crema Mani Rosa</t>
        </is>
      </c>
      <c r="D25" t="inlineStr"/>
      <c r="E25" t="inlineStr"/>
      <c r="F25" t="n">
        <v>2</v>
      </c>
      <c r="G25" t="n">
        <v>78.25</v>
      </c>
      <c r="H25">
        <f>F25*G25</f>
        <v/>
      </c>
    </row>
    <row r="26">
      <c r="A26" t="inlineStr">
        <is>
          <t>MTR-76895</t>
        </is>
      </c>
      <c r="B26" t="inlineStr">
        <is>
          <t>Lune Rouge</t>
        </is>
      </c>
      <c r="C26" t="inlineStr">
        <is>
          <t>Lip Gloss Mirror</t>
        </is>
      </c>
      <c r="D26" t="inlineStr">
        <is>
          <t>Bronze</t>
        </is>
      </c>
      <c r="E26" t="n">
        <v>12</v>
      </c>
      <c r="F26" t="n">
        <v>1</v>
      </c>
      <c r="G26" t="n">
        <v>8.15</v>
      </c>
      <c r="H26">
        <f>F26*E26*G26</f>
        <v/>
      </c>
    </row>
    <row r="27" hidden="1">
      <c r="A27" t="inlineStr">
        <is>
          <t>MTR-47941</t>
        </is>
      </c>
      <c r="B27" t="inlineStr">
        <is>
          <t>Velour Cosmetics</t>
        </is>
      </c>
      <c r="C27" t="inlineStr">
        <is>
          <t>Satin Lip Colour</t>
        </is>
      </c>
      <c r="D27" t="inlineStr">
        <is>
          <t>01 Nude Silk</t>
        </is>
      </c>
      <c r="E27" t="n">
        <v>12</v>
      </c>
      <c r="F27" t="n">
        <v>3</v>
      </c>
      <c r="G27" t="n">
        <v>11.77</v>
      </c>
      <c r="H27">
        <f>F27*E27*G27</f>
        <v/>
      </c>
    </row>
    <row r="29">
      <c r="A29" t="inlineStr">
        <is>
          <t>MTR-80453</t>
        </is>
      </c>
      <c r="B29" t="inlineStr">
        <is>
          <t>Lune Rouge</t>
        </is>
      </c>
      <c r="C29" t="inlineStr">
        <is>
          <t>Lacquer Nail Colour</t>
        </is>
      </c>
      <c r="D29" t="inlineStr">
        <is>
          <t>135 Lilac</t>
        </is>
      </c>
      <c r="E29" t="n">
        <v>12</v>
      </c>
      <c r="F29" t="n">
        <v>3</v>
      </c>
      <c r="G29" t="n">
        <v>6.11</v>
      </c>
      <c r="H29">
        <f>F29*E29*G29</f>
        <v/>
      </c>
    </row>
    <row r="30">
      <c r="A30" t="inlineStr">
        <is>
          <t>MTR-28018</t>
        </is>
      </c>
      <c r="B30" t="inlineStr">
        <is>
          <t>Atelier Noor</t>
        </is>
      </c>
      <c r="C30" t="inlineStr">
        <is>
          <t>Oud Saffron Eau de Parfum</t>
        </is>
      </c>
      <c r="D30" t="inlineStr">
        <is>
          <t>100 ml</t>
        </is>
      </c>
      <c r="E30" t="n">
        <v>6</v>
      </c>
      <c r="F30" t="n">
        <v>2</v>
      </c>
      <c r="G30" t="n">
        <v>115.19</v>
      </c>
      <c r="H30">
        <f>F30*E30*G30</f>
        <v/>
      </c>
    </row>
    <row r="31">
      <c r="A31" t="inlineStr">
        <is>
          <t>MTR-85088</t>
        </is>
      </c>
      <c r="B31" t="inlineStr">
        <is>
          <t>Velour Cosmetics</t>
        </is>
      </c>
      <c r="C31" t="inlineStr">
        <is>
          <t>Soft Focus Blush</t>
        </is>
      </c>
      <c r="D31" t="inlineStr">
        <is>
          <t>Rosewood</t>
        </is>
      </c>
      <c r="E31" t="n">
        <v>12</v>
      </c>
      <c r="F31" t="n">
        <v>6</v>
      </c>
      <c r="G31" t="n">
        <v>14.4</v>
      </c>
      <c r="H31">
        <f>F31*E31*G31</f>
        <v/>
      </c>
    </row>
    <row r="32">
      <c r="A32" t="inlineStr">
        <is>
          <t>MTR-40972</t>
        </is>
      </c>
      <c r="B32" t="inlineStr">
        <is>
          <t>Velour Cosmetics</t>
        </is>
      </c>
      <c r="C32" t="inlineStr">
        <is>
          <t>Soft Focus Blush</t>
        </is>
      </c>
      <c r="D32" t="inlineStr">
        <is>
          <t>Apricot</t>
        </is>
      </c>
      <c r="E32" t="n">
        <v>12</v>
      </c>
      <c r="F32" t="n">
        <v>6</v>
      </c>
      <c r="G32" t="n">
        <v>14.21</v>
      </c>
      <c r="H32">
        <f>F32*E32*G32</f>
        <v/>
      </c>
    </row>
    <row r="33">
      <c r="A33" t="inlineStr">
        <is>
          <t>MTR-66059</t>
        </is>
      </c>
      <c r="B33" t="inlineStr">
        <is>
          <t>Velour Cosmetics</t>
        </is>
      </c>
      <c r="C33" t="inlineStr">
        <is>
          <t>Velvet Matte Foundation 30 ml</t>
        </is>
      </c>
      <c r="D33" t="inlineStr">
        <is>
          <t>3W Golden</t>
        </is>
      </c>
      <c r="E33" t="n">
        <v>12</v>
      </c>
      <c r="F33" t="n">
        <v>2</v>
      </c>
      <c r="G33" t="n">
        <v>18.79</v>
      </c>
      <c r="H33">
        <f>F33*E33*G33</f>
        <v/>
      </c>
    </row>
    <row r="34">
      <c r="A34" t="inlineStr">
        <is>
          <t>MTR-62034</t>
        </is>
      </c>
      <c r="B34" t="inlineStr">
        <is>
          <t>Atelier Noor</t>
        </is>
      </c>
      <c r="C34" t="inlineStr">
        <is>
          <t>Iris Poudré Eau de Parfum</t>
        </is>
      </c>
      <c r="D34" t="inlineStr">
        <is>
          <t>50 ml</t>
        </is>
      </c>
      <c r="E34" t="n">
        <v>6</v>
      </c>
      <c r="F34" t="n">
        <v>2</v>
      </c>
      <c r="G34" t="n">
        <v>68.67</v>
      </c>
      <c r="H34">
        <f>F34*E34*G34</f>
        <v/>
      </c>
    </row>
    <row r="35">
      <c r="A35" t="inlineStr">
        <is>
          <t>MTR-78202</t>
        </is>
      </c>
      <c r="B35" t="inlineStr">
        <is>
          <t>Lune Rouge</t>
        </is>
      </c>
      <c r="C35" t="inlineStr">
        <is>
          <t>Glow Highlighter</t>
        </is>
      </c>
      <c r="D35" t="inlineStr">
        <is>
          <t>Rose Gold</t>
        </is>
      </c>
      <c r="E35" t="n">
        <v>12</v>
      </c>
      <c r="F35" t="n">
        <v>2</v>
      </c>
      <c r="G35" t="n">
        <v>10.77</v>
      </c>
      <c r="H35">
        <f>F35*E35*G35</f>
        <v/>
      </c>
    </row>
    <row r="36">
      <c r="A36" t="inlineStr">
        <is>
          <t>MTR-75866</t>
        </is>
      </c>
      <c r="B36" t="inlineStr">
        <is>
          <t>Velour Cosmetics</t>
        </is>
      </c>
      <c r="C36" t="inlineStr">
        <is>
          <t>Brow Sculpt Pencil</t>
        </is>
      </c>
      <c r="D36" t="inlineStr">
        <is>
          <t>Brunette</t>
        </is>
      </c>
      <c r="E36" t="n">
        <v>12</v>
      </c>
      <c r="F36" t="n">
        <v>1</v>
      </c>
      <c r="G36" t="n">
        <v>9.039999999999999</v>
      </c>
      <c r="H36">
        <f>F36*E36*G36</f>
        <v/>
      </c>
    </row>
    <row r="37">
      <c r="A37" t="inlineStr">
        <is>
          <t>MTR-14763</t>
        </is>
      </c>
      <c r="B37" t="inlineStr">
        <is>
          <t>Atelier Noor</t>
        </is>
      </c>
      <c r="C37" t="inlineStr">
        <is>
          <t>Cuir Fumé Extrait de Parfum</t>
        </is>
      </c>
      <c r="D37" t="inlineStr">
        <is>
          <t>100 ml</t>
        </is>
      </c>
      <c r="E37" t="n">
        <v>6</v>
      </c>
      <c r="F37" t="n">
        <v>1</v>
      </c>
      <c r="G37" t="n">
        <v>156.24</v>
      </c>
      <c r="H37">
        <f>F37*E37*G37</f>
        <v/>
      </c>
    </row>
    <row r="38">
      <c r="A38" t="inlineStr">
        <is>
          <t>MTR-61712</t>
        </is>
      </c>
      <c r="B38" t="inlineStr">
        <is>
          <t>Solenne Paris</t>
        </is>
      </c>
      <c r="C38" t="inlineStr">
        <is>
          <t>Crème Lumière Day Cream</t>
        </is>
      </c>
      <c r="D38" t="inlineStr">
        <is>
          <t>15 ml</t>
        </is>
      </c>
      <c r="E38" t="n">
        <v>6</v>
      </c>
      <c r="F38" t="n">
        <v>4</v>
      </c>
      <c r="G38" t="n">
        <v>26.02</v>
      </c>
      <c r="H38">
        <f>F38*E38*G38</f>
        <v/>
      </c>
    </row>
    <row r="39">
      <c r="A39" t="inlineStr">
        <is>
          <t>MTR-86434</t>
        </is>
      </c>
      <c r="B39" t="inlineStr">
        <is>
          <t>Lune Rouge</t>
        </is>
      </c>
      <c r="C39" t="inlineStr">
        <is>
          <t>Lip Gloss Mirror</t>
        </is>
      </c>
      <c r="D39" t="inlineStr">
        <is>
          <t>Pink Pearl</t>
        </is>
      </c>
      <c r="E39" t="n">
        <v>12</v>
      </c>
      <c r="F39" t="n">
        <v>1</v>
      </c>
      <c r="G39" t="n">
        <v>8.08</v>
      </c>
      <c r="H39">
        <f>F39*E39*G39</f>
        <v/>
      </c>
    </row>
    <row r="40">
      <c r="A40" t="inlineStr">
        <is>
          <t>MTR-30701</t>
        </is>
      </c>
      <c r="B40" t="inlineStr">
        <is>
          <t>Atelier Noor</t>
        </is>
      </c>
      <c r="C40" t="inlineStr">
        <is>
          <t>Rose Ambrée Eau de Parfum</t>
        </is>
      </c>
      <c r="D40" t="inlineStr">
        <is>
          <t>50 ml</t>
        </is>
      </c>
      <c r="E40" t="n">
        <v>6</v>
      </c>
      <c r="F40" t="n">
        <v>6</v>
      </c>
      <c r="G40" t="n">
        <v>71.13</v>
      </c>
      <c r="H40">
        <f>F40*E40*G40</f>
        <v/>
      </c>
    </row>
    <row r="41">
      <c r="A41" t="inlineStr">
        <is>
          <t>MTR-53914</t>
        </is>
      </c>
      <c r="B41" t="inlineStr">
        <is>
          <t>Velour Cosmetics</t>
        </is>
      </c>
      <c r="C41" t="inlineStr">
        <is>
          <t>Satin Lip Colour</t>
        </is>
      </c>
      <c r="D41" t="inlineStr">
        <is>
          <t>08 Terracotta</t>
        </is>
      </c>
      <c r="E41" t="n">
        <v>12</v>
      </c>
      <c r="F41" t="n">
        <v>2</v>
      </c>
      <c r="G41" t="n">
        <v>13.25</v>
      </c>
      <c r="H41">
        <f>F41*E41*G41</f>
        <v/>
      </c>
    </row>
    <row r="42">
      <c r="A42" t="inlineStr">
        <is>
          <t>MTR-82135</t>
        </is>
      </c>
      <c r="B42" t="inlineStr">
        <is>
          <t>Atelier Noor</t>
        </is>
      </c>
      <c r="C42" t="inlineStr">
        <is>
          <t>Rose Ambrée Eau de Parfum</t>
        </is>
      </c>
      <c r="D42" t="inlineStr">
        <is>
          <t>30 ml</t>
        </is>
      </c>
      <c r="E42" t="n">
        <v>12</v>
      </c>
      <c r="F42" t="n">
        <v>4</v>
      </c>
      <c r="G42" t="n">
        <v>53.23</v>
      </c>
      <c r="H42">
        <f>F42*E42*G42</f>
        <v/>
      </c>
    </row>
    <row r="43">
      <c r="A43" t="inlineStr">
        <is>
          <t>MTR-34405</t>
        </is>
      </c>
      <c r="B43" t="inlineStr">
        <is>
          <t>Velour Cosmetics</t>
        </is>
      </c>
      <c r="C43" t="inlineStr">
        <is>
          <t>Velvet Matte Foundation 30 ml</t>
        </is>
      </c>
      <c r="D43" t="inlineStr">
        <is>
          <t>1N Porcelain</t>
        </is>
      </c>
      <c r="E43" t="n">
        <v>12</v>
      </c>
      <c r="F43" t="n">
        <v>1</v>
      </c>
      <c r="G43" t="n">
        <v>18.59</v>
      </c>
      <c r="H43">
        <f>F43*E43*G43</f>
        <v/>
      </c>
    </row>
    <row r="45">
      <c r="A45" t="inlineStr"/>
      <c r="B45" t="inlineStr"/>
      <c r="C45" s="3" t="inlineStr">
        <is>
          <t>TOTAL</t>
        </is>
      </c>
      <c r="D45" t="inlineStr"/>
      <c r="E45" t="inlineStr"/>
      <c r="F45">
        <f>SUM(F10:F42)</f>
        <v/>
      </c>
      <c r="G45" t="inlineStr"/>
      <c r="H45">
        <f>SUM(H10:H42)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